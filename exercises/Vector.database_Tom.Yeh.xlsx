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8DE81BC4-A351-4193-94EF-0095A00188A3}" xr6:coauthVersionLast="47" xr6:coauthVersionMax="47" xr10:uidLastSave="{00000000-0000-0000-0000-000000000000}"/>
  <bookViews>
    <workbookView xWindow="-120" yWindow="-120" windowWidth="20730" windowHeight="11310" xr2:uid="{0C46AFA9-63D5-449F-A46F-20A009987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V29" i="1"/>
  <c r="V28" i="1"/>
  <c r="V27" i="1"/>
  <c r="U27" i="1"/>
  <c r="U28" i="1"/>
  <c r="U29" i="1"/>
  <c r="U30" i="1"/>
  <c r="V33" i="1" a="1"/>
  <c r="U21" i="1" a="1"/>
  <c r="U21" i="1" s="1"/>
  <c r="R30" i="1"/>
  <c r="R29" i="1"/>
  <c r="R28" i="1"/>
  <c r="R27" i="1"/>
  <c r="R33" i="1" s="1" a="1"/>
  <c r="R33" i="1" s="1"/>
  <c r="N30" i="1"/>
  <c r="N29" i="1"/>
  <c r="N28" i="1"/>
  <c r="N27" i="1"/>
  <c r="N33" i="1" s="1" a="1"/>
  <c r="N33" i="1" s="1"/>
  <c r="J30" i="1"/>
  <c r="J29" i="1"/>
  <c r="J28" i="1"/>
  <c r="J27" i="1"/>
  <c r="J33" i="1" s="1" a="1"/>
  <c r="J33" i="1" s="1"/>
  <c r="Q21" i="1" a="1"/>
  <c r="Q21" i="1" s="1"/>
  <c r="M21" i="1" a="1"/>
  <c r="M21" i="1" s="1"/>
  <c r="I21" i="1" a="1"/>
  <c r="I21" i="1" s="1"/>
  <c r="V33" i="1" l="1"/>
  <c r="T37" i="1" s="1"/>
  <c r="U37" i="1"/>
  <c r="J37" i="1" l="1" a="1"/>
  <c r="J37" i="1" s="1"/>
  <c r="R37" i="1" a="1"/>
  <c r="R37" i="1" s="1"/>
  <c r="N37" i="1" a="1"/>
  <c r="N37" i="1" s="1"/>
  <c r="AD40" i="1" l="1"/>
  <c r="R39" i="1" l="1"/>
  <c r="N39" i="1"/>
  <c r="J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<sst xmlns="http://schemas.openxmlformats.org/spreadsheetml/2006/main" count="73" uniqueCount="50">
  <si>
    <t>Data</t>
  </si>
  <si>
    <t>how</t>
  </si>
  <si>
    <t>are</t>
  </si>
  <si>
    <t>you</t>
  </si>
  <si>
    <t>who</t>
  </si>
  <si>
    <t xml:space="preserve">who </t>
  </si>
  <si>
    <t>am</t>
  </si>
  <si>
    <t>I</t>
  </si>
  <si>
    <t>a</t>
  </si>
  <si>
    <t>the</t>
  </si>
  <si>
    <t>why</t>
  </si>
  <si>
    <t>what</t>
  </si>
  <si>
    <t>is</t>
  </si>
  <si>
    <t>be</t>
  </si>
  <si>
    <t>was</t>
  </si>
  <si>
    <t>we</t>
  </si>
  <si>
    <t>i</t>
  </si>
  <si>
    <t>they</t>
  </si>
  <si>
    <t>she</t>
  </si>
  <si>
    <t>he</t>
  </si>
  <si>
    <t>me</t>
  </si>
  <si>
    <t>him</t>
  </si>
  <si>
    <t>her</t>
  </si>
  <si>
    <t>an</t>
  </si>
  <si>
    <r>
      <t xml:space="preserve">result of a </t>
    </r>
    <r>
      <rPr>
        <b/>
        <sz val="11"/>
        <color theme="1"/>
        <rFont val="Aptos Narrow"/>
        <family val="2"/>
        <scheme val="minor"/>
      </rPr>
      <t>dense, continuous embedding technique</t>
    </r>
    <r>
      <rPr>
        <sz val="11"/>
        <color theme="1"/>
        <rFont val="Aptos Narrow"/>
        <family val="2"/>
        <scheme val="minor"/>
      </rPr>
      <t xml:space="preserve"> such as Word2Vec, GloVe, or FastText. These methods create embeddings with real-valued components that can be positive or negative, representing the semantic and contextual attributes of words in a high-dimensional space. Each dimension of the vector captures different features of the word's meaning or usage.</t>
    </r>
  </si>
  <si>
    <t>Query</t>
  </si>
  <si>
    <t>Word Embedings</t>
  </si>
  <si>
    <t>Encoder</t>
  </si>
  <si>
    <t>Linear &amp;</t>
  </si>
  <si>
    <t>ReLU</t>
  </si>
  <si>
    <t>E</t>
  </si>
  <si>
    <t>W</t>
  </si>
  <si>
    <t>A is a 4×5 matrix and B is a 5×3 matrix, the resulting matrix C will be a 4×3 matrix</t>
  </si>
  <si>
    <t>Apply the ReLU activation function to each element in the resulting matrix from the multiplication</t>
  </si>
  <si>
    <t>ReLU(x)=max(0,x)</t>
  </si>
  <si>
    <t xml:space="preserve">Encoding </t>
  </si>
  <si>
    <t>Feed the sequence of word embeddings to an encoder to obtain a sequence of feature vectors</t>
  </si>
  <si>
    <t>Mean pooling</t>
  </si>
  <si>
    <t>In practice, the ecnoder is a transformer or one of its many variants</t>
  </si>
  <si>
    <t>Use mean pooling. Other techniques, as CLS as possible, mut mean pooling is most common</t>
  </si>
  <si>
    <t>Indexing</t>
  </si>
  <si>
    <t>Reduce using projection matrix. Reduction rate is 50% (4 to 2)</t>
  </si>
  <si>
    <t>Projection</t>
  </si>
  <si>
    <t>Projection matrix by mean pooling vector</t>
  </si>
  <si>
    <t>Dot products</t>
  </si>
  <si>
    <t>Nearest Neighbor (argmax)</t>
  </si>
  <si>
    <t>Transpose query vector to get dot products</t>
  </si>
  <si>
    <t>Find largets dot product, by linear scan</t>
  </si>
  <si>
    <t>Sentence with highets dot product is the result of query</t>
  </si>
  <si>
    <t>In practice we use an Approximate Nearest Neighbor (ANN) algorithm, line Hierarchical Navigable Small Worlds (HNSW)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</si>
</sst>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703-A9EF-45E2-AE8E-47D20D35ED34}">
  <dimension ref="A3:AD42"/>
  <sheetViews>
    <sheetView tabSelected="1" workbookViewId="0">
      <selection activeCell="Y13" sqref="Y13"/>
    </sheetView>
  </sheetViews>
  <sheetFormatPr defaultRowHeight="15" x14ac:dyDescent="0.25"/>
  <cols>
    <col min="3" max="6" width="5.42578125" customWidth="1"/>
    <col min="7" max="8" width="4.28515625" customWidth="1"/>
    <col min="9" max="9" width="4.85546875" customWidth="1"/>
    <col min="10" max="23" width="4.42578125" customWidth="1"/>
    <col min="24" max="28" width="5" customWidth="1"/>
  </cols>
  <sheetData>
    <row r="3" spans="1:30" x14ac:dyDescent="0.25">
      <c r="U3" t="s">
        <v>25</v>
      </c>
    </row>
    <row r="4" spans="1:30" x14ac:dyDescent="0.25">
      <c r="G4" t="s">
        <v>0</v>
      </c>
      <c r="I4" s="2" t="s">
        <v>1</v>
      </c>
      <c r="J4" s="2" t="s">
        <v>2</v>
      </c>
      <c r="K4" s="2" t="s">
        <v>3</v>
      </c>
      <c r="L4" s="3"/>
      <c r="M4" s="2" t="s">
        <v>4</v>
      </c>
      <c r="N4" s="2" t="s">
        <v>2</v>
      </c>
      <c r="O4" s="2" t="s">
        <v>3</v>
      </c>
      <c r="P4" s="3"/>
      <c r="Q4" s="2" t="s">
        <v>5</v>
      </c>
      <c r="R4" s="2" t="s">
        <v>6</v>
      </c>
      <c r="S4" s="2" t="s">
        <v>7</v>
      </c>
      <c r="T4" s="3"/>
      <c r="U4" s="2" t="s">
        <v>6</v>
      </c>
      <c r="V4" s="2" t="s">
        <v>7</v>
      </c>
      <c r="W4" s="2" t="s">
        <v>3</v>
      </c>
    </row>
    <row r="6" spans="1:30" x14ac:dyDescent="0.25">
      <c r="AD6" t="s">
        <v>26</v>
      </c>
    </row>
    <row r="7" spans="1:30" x14ac:dyDescent="0.25">
      <c r="G7" s="4" t="s">
        <v>8</v>
      </c>
      <c r="H7" s="4" t="s">
        <v>23</v>
      </c>
      <c r="I7" s="4" t="s">
        <v>9</v>
      </c>
      <c r="J7" s="4" t="s">
        <v>1</v>
      </c>
      <c r="K7" s="4" t="s">
        <v>10</v>
      </c>
      <c r="L7" s="4" t="s">
        <v>4</v>
      </c>
      <c r="M7" s="4" t="s">
        <v>11</v>
      </c>
      <c r="N7" s="4" t="s">
        <v>2</v>
      </c>
      <c r="O7" s="4" t="s">
        <v>12</v>
      </c>
      <c r="P7" s="4" t="s">
        <v>6</v>
      </c>
      <c r="Q7" s="4" t="s">
        <v>13</v>
      </c>
      <c r="R7" s="4" t="s">
        <v>14</v>
      </c>
      <c r="S7" s="4" t="s">
        <v>3</v>
      </c>
      <c r="T7" s="4" t="s">
        <v>15</v>
      </c>
      <c r="U7" s="4" t="s">
        <v>16</v>
      </c>
      <c r="V7" s="4" t="s">
        <v>17</v>
      </c>
      <c r="W7" s="4" t="s">
        <v>18</v>
      </c>
      <c r="X7" s="4" t="s">
        <v>19</v>
      </c>
      <c r="Y7" s="4" t="s">
        <v>18</v>
      </c>
      <c r="Z7" s="4" t="s">
        <v>20</v>
      </c>
      <c r="AA7" s="4" t="s">
        <v>21</v>
      </c>
      <c r="AB7" s="4" t="s">
        <v>22</v>
      </c>
      <c r="AD7" t="s">
        <v>24</v>
      </c>
    </row>
    <row r="8" spans="1:30" x14ac:dyDescent="0.25">
      <c r="G8" s="2">
        <v>0</v>
      </c>
      <c r="H8" s="2">
        <v>-1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-1</v>
      </c>
      <c r="P8" s="2">
        <v>1</v>
      </c>
      <c r="Q8" s="2">
        <v>0</v>
      </c>
      <c r="R8" s="2">
        <v>0</v>
      </c>
      <c r="S8" s="2">
        <v>0</v>
      </c>
      <c r="T8" s="2">
        <v>3</v>
      </c>
      <c r="U8" s="2">
        <v>1</v>
      </c>
      <c r="V8" s="2">
        <v>0</v>
      </c>
      <c r="W8" s="2">
        <v>-1</v>
      </c>
      <c r="X8" s="2">
        <v>0</v>
      </c>
      <c r="Y8" s="2">
        <v>0</v>
      </c>
      <c r="Z8" s="2">
        <v>0</v>
      </c>
      <c r="AA8" s="2">
        <v>-1</v>
      </c>
      <c r="AB8" s="2">
        <v>0</v>
      </c>
    </row>
    <row r="9" spans="1:30" x14ac:dyDescent="0.25">
      <c r="G9" s="2">
        <v>2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-1</v>
      </c>
      <c r="N9" s="2">
        <v>1</v>
      </c>
      <c r="O9" s="2">
        <v>0</v>
      </c>
      <c r="P9" s="2">
        <v>0</v>
      </c>
      <c r="Q9" s="2">
        <v>0</v>
      </c>
      <c r="R9" s="2">
        <v>2</v>
      </c>
      <c r="S9" s="2">
        <v>1</v>
      </c>
      <c r="T9" s="2">
        <v>0</v>
      </c>
      <c r="U9" s="2">
        <v>2</v>
      </c>
      <c r="V9" s="2">
        <v>0</v>
      </c>
      <c r="W9" s="2">
        <v>2</v>
      </c>
      <c r="X9" s="2">
        <v>0</v>
      </c>
      <c r="Y9" s="2">
        <v>0</v>
      </c>
      <c r="Z9" s="2">
        <v>2</v>
      </c>
      <c r="AA9" s="2">
        <v>0</v>
      </c>
      <c r="AB9" s="2">
        <v>0</v>
      </c>
    </row>
    <row r="10" spans="1:30" x14ac:dyDescent="0.25">
      <c r="G10" s="2">
        <v>-1</v>
      </c>
      <c r="H10" s="2">
        <v>0</v>
      </c>
      <c r="I10" s="2">
        <v>-1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-1</v>
      </c>
      <c r="R10" s="2">
        <v>0</v>
      </c>
      <c r="S10" s="2">
        <v>0</v>
      </c>
      <c r="T10" s="2">
        <v>-1</v>
      </c>
      <c r="U10" s="2">
        <v>0</v>
      </c>
      <c r="V10" s="2">
        <v>3</v>
      </c>
      <c r="W10" s="2">
        <v>0</v>
      </c>
      <c r="X10" s="2">
        <v>0</v>
      </c>
      <c r="Y10" s="2">
        <v>-1</v>
      </c>
      <c r="Z10" s="2">
        <v>0</v>
      </c>
      <c r="AA10" s="2">
        <v>2</v>
      </c>
      <c r="AB10" s="2">
        <v>-1</v>
      </c>
    </row>
    <row r="11" spans="1:30" x14ac:dyDescent="0.25">
      <c r="G11" s="2">
        <v>0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-2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1</v>
      </c>
      <c r="Y11" s="2">
        <v>0</v>
      </c>
      <c r="Z11" s="2">
        <v>1</v>
      </c>
      <c r="AA11" s="2">
        <v>0</v>
      </c>
      <c r="AB11" s="2">
        <v>1</v>
      </c>
    </row>
    <row r="14" spans="1:30" x14ac:dyDescent="0.25">
      <c r="A14" t="s">
        <v>30</v>
      </c>
      <c r="I14" s="4" t="s">
        <v>1</v>
      </c>
      <c r="J14" s="4" t="s">
        <v>2</v>
      </c>
      <c r="K14" s="4" t="s">
        <v>3</v>
      </c>
      <c r="M14" s="4" t="s">
        <v>4</v>
      </c>
      <c r="N14" s="4" t="s">
        <v>2</v>
      </c>
      <c r="O14" s="4" t="s">
        <v>3</v>
      </c>
      <c r="Q14" s="4" t="s">
        <v>4</v>
      </c>
      <c r="R14" s="4" t="s">
        <v>6</v>
      </c>
      <c r="S14" s="4" t="s">
        <v>16</v>
      </c>
      <c r="U14" s="4" t="s">
        <v>6</v>
      </c>
      <c r="V14" s="4" t="s">
        <v>16</v>
      </c>
      <c r="W14" s="4" t="s">
        <v>3</v>
      </c>
    </row>
    <row r="15" spans="1:30" x14ac:dyDescent="0.25">
      <c r="I15" s="2">
        <v>1</v>
      </c>
      <c r="J15" s="2">
        <v>0</v>
      </c>
      <c r="K15" s="2">
        <v>0</v>
      </c>
      <c r="M15" s="2">
        <v>1</v>
      </c>
      <c r="N15" s="2">
        <v>0</v>
      </c>
      <c r="O15" s="2">
        <v>0</v>
      </c>
      <c r="Q15" s="2">
        <v>1</v>
      </c>
      <c r="R15" s="2">
        <v>1</v>
      </c>
      <c r="S15" s="2">
        <v>1</v>
      </c>
      <c r="U15" s="2">
        <v>1</v>
      </c>
      <c r="V15" s="2">
        <v>1</v>
      </c>
      <c r="W15" s="2">
        <v>0</v>
      </c>
    </row>
    <row r="16" spans="1:30" x14ac:dyDescent="0.25">
      <c r="I16" s="2">
        <v>0</v>
      </c>
      <c r="J16" s="2">
        <v>1</v>
      </c>
      <c r="K16" s="2">
        <v>1</v>
      </c>
      <c r="M16" s="2">
        <v>0</v>
      </c>
      <c r="N16" s="2">
        <v>1</v>
      </c>
      <c r="O16" s="2">
        <v>1</v>
      </c>
      <c r="Q16" s="2">
        <v>0</v>
      </c>
      <c r="R16" s="2">
        <v>0</v>
      </c>
      <c r="S16" s="2">
        <v>2</v>
      </c>
      <c r="U16" s="2">
        <v>0</v>
      </c>
      <c r="V16" s="2">
        <v>2</v>
      </c>
      <c r="W16" s="2">
        <v>1</v>
      </c>
    </row>
    <row r="17" spans="1:30" x14ac:dyDescent="0.25">
      <c r="I17" s="2">
        <v>1</v>
      </c>
      <c r="J17" s="2">
        <v>1</v>
      </c>
      <c r="K17" s="2">
        <v>0</v>
      </c>
      <c r="M17" s="2">
        <v>0</v>
      </c>
      <c r="N17" s="2">
        <v>1</v>
      </c>
      <c r="O17" s="2">
        <v>0</v>
      </c>
      <c r="Q17" s="2">
        <v>0</v>
      </c>
      <c r="R17" s="2">
        <v>1</v>
      </c>
      <c r="S17" s="2">
        <v>0</v>
      </c>
      <c r="U17" s="2">
        <v>1</v>
      </c>
      <c r="V17" s="2">
        <v>0</v>
      </c>
      <c r="W17" s="2">
        <v>0</v>
      </c>
    </row>
    <row r="18" spans="1:30" x14ac:dyDescent="0.25">
      <c r="I18" s="2">
        <v>0</v>
      </c>
      <c r="J18" s="2">
        <v>0</v>
      </c>
      <c r="K18" s="2">
        <v>0</v>
      </c>
      <c r="M18" s="2">
        <v>0</v>
      </c>
      <c r="N18" s="2">
        <v>0</v>
      </c>
      <c r="O18" s="2">
        <v>0</v>
      </c>
      <c r="Q18" s="2">
        <v>0</v>
      </c>
      <c r="R18" s="2">
        <v>0</v>
      </c>
      <c r="S18" s="2">
        <v>0</v>
      </c>
      <c r="U18" s="2">
        <v>0</v>
      </c>
      <c r="V18" s="2">
        <v>0</v>
      </c>
      <c r="W18" s="2">
        <v>0</v>
      </c>
    </row>
    <row r="19" spans="1:30" x14ac:dyDescent="0.25">
      <c r="I19" s="6">
        <v>1</v>
      </c>
      <c r="J19" s="6">
        <v>1</v>
      </c>
      <c r="K19" s="6">
        <v>1</v>
      </c>
      <c r="M19" s="6">
        <v>1</v>
      </c>
      <c r="N19" s="6">
        <v>1</v>
      </c>
      <c r="O19" s="6">
        <v>1</v>
      </c>
      <c r="Q19" s="6">
        <v>1</v>
      </c>
      <c r="R19" s="6">
        <v>1</v>
      </c>
      <c r="S19" s="6">
        <v>1</v>
      </c>
      <c r="U19" s="6">
        <v>1</v>
      </c>
      <c r="V19" s="6">
        <v>1</v>
      </c>
      <c r="W19" s="6">
        <v>1</v>
      </c>
      <c r="AD19" t="s">
        <v>35</v>
      </c>
    </row>
    <row r="20" spans="1:30" x14ac:dyDescent="0.25">
      <c r="AD20" t="s">
        <v>36</v>
      </c>
    </row>
    <row r="21" spans="1:30" x14ac:dyDescent="0.25">
      <c r="A21" t="s">
        <v>31</v>
      </c>
      <c r="B21" t="s">
        <v>27</v>
      </c>
      <c r="C21" s="2">
        <v>1</v>
      </c>
      <c r="D21" s="2">
        <v>1</v>
      </c>
      <c r="E21" s="2">
        <v>0</v>
      </c>
      <c r="F21" s="2">
        <v>0</v>
      </c>
      <c r="G21" s="5">
        <v>0</v>
      </c>
      <c r="I21" s="1" cm="1">
        <f t="array" ref="I21:K24">MMULT(C21:G24,I15:K19)</f>
        <v>1</v>
      </c>
      <c r="J21" s="1">
        <v>1</v>
      </c>
      <c r="K21" s="1">
        <v>1</v>
      </c>
      <c r="M21" s="1" cm="1">
        <f t="array" ref="M21:O24">MMULT(C21:G24,M15:O19)</f>
        <v>1</v>
      </c>
      <c r="N21" s="1">
        <v>1</v>
      </c>
      <c r="O21" s="1">
        <v>1</v>
      </c>
      <c r="Q21" s="1" cm="1">
        <f t="array" ref="Q21:S24">MMULT(C21:G24,Q15:S19)</f>
        <v>1</v>
      </c>
      <c r="R21" s="1">
        <v>1</v>
      </c>
      <c r="S21" s="1">
        <v>3</v>
      </c>
      <c r="U21" s="8" cm="1">
        <f t="array" ref="U21:W24">MMULT(C21:G24,U15:W19)</f>
        <v>1</v>
      </c>
      <c r="V21" s="1">
        <v>3</v>
      </c>
      <c r="W21" s="1">
        <v>1</v>
      </c>
      <c r="AD21" t="s">
        <v>32</v>
      </c>
    </row>
    <row r="22" spans="1:30" x14ac:dyDescent="0.25">
      <c r="C22" s="2">
        <v>0</v>
      </c>
      <c r="D22" s="2">
        <v>1</v>
      </c>
      <c r="E22" s="2">
        <v>0</v>
      </c>
      <c r="F22" s="2">
        <v>1</v>
      </c>
      <c r="G22" s="5">
        <v>0</v>
      </c>
      <c r="I22" s="1">
        <v>0</v>
      </c>
      <c r="J22" s="1">
        <v>1</v>
      </c>
      <c r="K22" s="1">
        <v>1</v>
      </c>
      <c r="M22" s="1">
        <v>0</v>
      </c>
      <c r="N22" s="1">
        <v>1</v>
      </c>
      <c r="O22" s="1">
        <v>1</v>
      </c>
      <c r="Q22" s="1">
        <v>0</v>
      </c>
      <c r="R22" s="1">
        <v>0</v>
      </c>
      <c r="S22" s="1">
        <v>2</v>
      </c>
      <c r="U22" s="8">
        <v>0</v>
      </c>
      <c r="V22" s="1">
        <v>2</v>
      </c>
      <c r="W22" s="1">
        <v>1</v>
      </c>
      <c r="AD22" t="s">
        <v>33</v>
      </c>
    </row>
    <row r="23" spans="1:30" x14ac:dyDescent="0.25">
      <c r="B23" t="s">
        <v>28</v>
      </c>
      <c r="C23" s="2">
        <v>1</v>
      </c>
      <c r="D23" s="2">
        <v>0</v>
      </c>
      <c r="E23" s="2">
        <v>1</v>
      </c>
      <c r="F23" s="2">
        <v>0</v>
      </c>
      <c r="G23" s="5">
        <v>-1</v>
      </c>
      <c r="I23" s="1">
        <v>1</v>
      </c>
      <c r="J23" s="1">
        <v>0</v>
      </c>
      <c r="K23" s="7">
        <v>-1</v>
      </c>
      <c r="M23" s="1">
        <v>0</v>
      </c>
      <c r="N23" s="1">
        <v>0</v>
      </c>
      <c r="O23" s="7">
        <v>-1</v>
      </c>
      <c r="Q23" s="1">
        <v>0</v>
      </c>
      <c r="R23" s="1">
        <v>1</v>
      </c>
      <c r="S23" s="1">
        <v>0</v>
      </c>
      <c r="U23" s="8">
        <v>1</v>
      </c>
      <c r="V23" s="8">
        <v>0</v>
      </c>
      <c r="W23" s="7">
        <v>-1</v>
      </c>
      <c r="AD23" t="s">
        <v>34</v>
      </c>
    </row>
    <row r="24" spans="1:30" x14ac:dyDescent="0.25">
      <c r="B24" t="s">
        <v>29</v>
      </c>
      <c r="C24" s="2">
        <v>1</v>
      </c>
      <c r="D24" s="2">
        <v>-1</v>
      </c>
      <c r="E24" s="2">
        <v>0</v>
      </c>
      <c r="F24" s="2">
        <v>0</v>
      </c>
      <c r="G24" s="5">
        <v>0</v>
      </c>
      <c r="I24" s="1">
        <v>1</v>
      </c>
      <c r="J24" s="7">
        <v>-1</v>
      </c>
      <c r="K24" s="7">
        <v>-1</v>
      </c>
      <c r="M24" s="1">
        <v>1</v>
      </c>
      <c r="N24" s="7">
        <v>-1</v>
      </c>
      <c r="O24" s="7">
        <v>-1</v>
      </c>
      <c r="Q24" s="1">
        <v>1</v>
      </c>
      <c r="R24" s="1">
        <v>1</v>
      </c>
      <c r="S24" s="7">
        <v>-1</v>
      </c>
      <c r="U24" s="8">
        <v>1</v>
      </c>
      <c r="V24" s="7">
        <v>-1</v>
      </c>
      <c r="W24" s="7">
        <v>-1</v>
      </c>
      <c r="AD24" t="s">
        <v>38</v>
      </c>
    </row>
    <row r="26" spans="1:30" x14ac:dyDescent="0.25">
      <c r="AD26" t="s">
        <v>37</v>
      </c>
    </row>
    <row r="27" spans="1:30" x14ac:dyDescent="0.25">
      <c r="J27" s="1">
        <f>SUM(I21:K21)/3</f>
        <v>1</v>
      </c>
      <c r="N27" s="1">
        <f>3/3</f>
        <v>1</v>
      </c>
      <c r="R27" s="1">
        <f>5/3</f>
        <v>1.6666666666666667</v>
      </c>
      <c r="U27" s="1">
        <f>4/3</f>
        <v>1.3333333333333333</v>
      </c>
      <c r="V27" s="1">
        <f>5/3</f>
        <v>1.6666666666666667</v>
      </c>
      <c r="AD27" t="s">
        <v>39</v>
      </c>
    </row>
    <row r="28" spans="1:30" x14ac:dyDescent="0.25">
      <c r="J28" s="1">
        <f>2/3</f>
        <v>0.66666666666666663</v>
      </c>
      <c r="N28" s="1">
        <f>2/3</f>
        <v>0.66666666666666663</v>
      </c>
      <c r="R28" s="1">
        <f>2/3</f>
        <v>0.66666666666666663</v>
      </c>
      <c r="U28" s="1">
        <f>3/3</f>
        <v>1</v>
      </c>
      <c r="V28" s="1">
        <f>2/3</f>
        <v>0.66666666666666663</v>
      </c>
    </row>
    <row r="29" spans="1:30" x14ac:dyDescent="0.25">
      <c r="J29" s="1">
        <f>1/3</f>
        <v>0.33333333333333331</v>
      </c>
      <c r="N29" s="1">
        <f>0/3</f>
        <v>0</v>
      </c>
      <c r="R29" s="1">
        <f>1/3</f>
        <v>0.33333333333333331</v>
      </c>
      <c r="U29" s="1">
        <f>1/3</f>
        <v>0.33333333333333331</v>
      </c>
      <c r="V29" s="1">
        <f>2/3</f>
        <v>0.66666666666666663</v>
      </c>
    </row>
    <row r="30" spans="1:30" x14ac:dyDescent="0.25">
      <c r="J30" s="1">
        <f>1/3</f>
        <v>0.33333333333333331</v>
      </c>
      <c r="N30" s="1">
        <f>1/3</f>
        <v>0.33333333333333331</v>
      </c>
      <c r="R30" s="1">
        <f>2/3</f>
        <v>0.66666666666666663</v>
      </c>
      <c r="U30" s="1">
        <f>1/3</f>
        <v>0.33333333333333331</v>
      </c>
      <c r="V30" s="1">
        <f>2/3</f>
        <v>0.66666666666666663</v>
      </c>
    </row>
    <row r="32" spans="1:30" x14ac:dyDescent="0.25">
      <c r="AD32" t="s">
        <v>40</v>
      </c>
    </row>
    <row r="33" spans="2:30" x14ac:dyDescent="0.25">
      <c r="B33" t="s">
        <v>42</v>
      </c>
      <c r="D33" s="1">
        <v>1</v>
      </c>
      <c r="E33" s="1">
        <v>1</v>
      </c>
      <c r="F33" s="1">
        <v>0</v>
      </c>
      <c r="G33" s="1">
        <v>0</v>
      </c>
      <c r="J33" s="1" cm="1">
        <f t="array" ref="J33:J34">MMULT(D33:G34,J27:J30)</f>
        <v>1.6666666666666665</v>
      </c>
      <c r="N33" s="1" cm="1">
        <f t="array" ref="N33:N34">MMULT(D33:G34,N27:N30)</f>
        <v>1.6666666666666665</v>
      </c>
      <c r="R33" s="1" cm="1">
        <f t="array" ref="R33:R34">MMULT(D33:G34,R27:R30)</f>
        <v>2.3333333333333335</v>
      </c>
      <c r="V33" s="1" cm="1">
        <f t="array" ref="V33:V34">MMULT(D33:G34,V27:V30)</f>
        <v>2.3333333333333335</v>
      </c>
      <c r="AD33" t="s">
        <v>41</v>
      </c>
    </row>
    <row r="34" spans="2:30" x14ac:dyDescent="0.25">
      <c r="D34" s="1">
        <v>0</v>
      </c>
      <c r="E34" s="1">
        <v>0</v>
      </c>
      <c r="F34" s="1">
        <v>1</v>
      </c>
      <c r="G34" s="1">
        <v>1</v>
      </c>
      <c r="J34" s="1">
        <v>0.66666666666666663</v>
      </c>
      <c r="N34" s="1">
        <v>0.33333333333333331</v>
      </c>
      <c r="R34" s="1">
        <v>1</v>
      </c>
      <c r="V34" s="1">
        <v>1.3333333333333333</v>
      </c>
      <c r="AD34" t="s">
        <v>43</v>
      </c>
    </row>
    <row r="37" spans="2:30" x14ac:dyDescent="0.25">
      <c r="D37" t="s">
        <v>44</v>
      </c>
      <c r="J37" s="1" cm="1">
        <f t="array" ref="J37">MMULT(T37:U37,J33:J34)</f>
        <v>4.7777777777777777</v>
      </c>
      <c r="N37" s="1" cm="1">
        <f t="array" ref="N37">MMULT(T37:U37,N33:N34)</f>
        <v>4.333333333333333</v>
      </c>
      <c r="R37" s="1" cm="1">
        <f t="array" ref="R37">MMULT(T37:U37,R33:R34)</f>
        <v>6.7777777777777786</v>
      </c>
      <c r="T37" s="1">
        <f>V33</f>
        <v>2.3333333333333335</v>
      </c>
      <c r="U37" s="1">
        <f>V34</f>
        <v>1.3333333333333333</v>
      </c>
      <c r="AD37" t="s">
        <v>46</v>
      </c>
    </row>
    <row r="39" spans="2:30" x14ac:dyDescent="0.25">
      <c r="D39" t="s">
        <v>45</v>
      </c>
      <c r="J39" s="1" t="str">
        <f>IF(AD40=J37,"ok","")</f>
        <v/>
      </c>
      <c r="N39" s="1" t="str">
        <f>IF(AD40=N37,"ok","")</f>
        <v/>
      </c>
      <c r="R39" s="1" t="str">
        <f>IF(AD40=R37,"ok","")</f>
        <v>ok</v>
      </c>
      <c r="T39" s="1"/>
      <c r="U39" s="1"/>
      <c r="V39" s="1"/>
      <c r="W39" s="1"/>
      <c r="AD39" t="s">
        <v>47</v>
      </c>
    </row>
    <row r="40" spans="2:30" x14ac:dyDescent="0.25">
      <c r="AD40">
        <f>MAX(J37,N37,R37)</f>
        <v>6.7777777777777786</v>
      </c>
    </row>
    <row r="41" spans="2:30" x14ac:dyDescent="0.25">
      <c r="AD41" t="s">
        <v>48</v>
      </c>
    </row>
    <row r="42" spans="2:30" x14ac:dyDescent="0.25">
      <c r="AD42" t="s">
        <v>49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2024-06-15T12:12:34Z</dcterms:created>
  <dcterms:modified xsi:type="dcterms:W3CDTF">2024-06-15T20:13:04Z</dcterms:modified>
</cp:coreProperties>
</file>