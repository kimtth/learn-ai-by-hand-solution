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0" documentId="8_{3B2138F8-71D1-4A59-B2DB-CAD86B494EF3}" xr6:coauthVersionLast="47" xr6:coauthVersionMax="47" xr10:uidLastSave="{00000000-0000-0000-0000-000000000000}"/>
  <bookViews>
    <workbookView xWindow="-120" yWindow="-120" windowWidth="20730" windowHeight="11310" xr2:uid="{B2F417E4-BD5C-4B5B-8386-0082AABDE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2" i="1" l="1" a="1"/>
  <c r="S52" i="1" s="1"/>
  <c r="I52" i="1" a="1"/>
  <c r="I52" i="1" s="1"/>
  <c r="T45" i="1"/>
  <c r="U45" i="1"/>
  <c r="V45" i="1"/>
  <c r="T46" i="1"/>
  <c r="U46" i="1"/>
  <c r="V46" i="1"/>
  <c r="T47" i="1"/>
  <c r="U47" i="1"/>
  <c r="V47" i="1"/>
  <c r="S47" i="1"/>
  <c r="S46" i="1"/>
  <c r="S45" i="1"/>
  <c r="T44" i="1"/>
  <c r="U44" i="1"/>
  <c r="V44" i="1"/>
  <c r="S44" i="1"/>
  <c r="T39" i="1"/>
  <c r="U39" i="1"/>
  <c r="V39" i="1"/>
  <c r="S39" i="1"/>
  <c r="S35" i="1"/>
  <c r="T35" i="1"/>
  <c r="U35" i="1"/>
  <c r="V35" i="1"/>
  <c r="S36" i="1"/>
  <c r="T36" i="1"/>
  <c r="U36" i="1"/>
  <c r="V36" i="1"/>
  <c r="S37" i="1"/>
  <c r="T37" i="1"/>
  <c r="U37" i="1"/>
  <c r="V37" i="1"/>
  <c r="T34" i="1"/>
  <c r="U34" i="1"/>
  <c r="V34" i="1"/>
  <c r="S34" i="1"/>
  <c r="S29" i="1"/>
  <c r="T29" i="1"/>
  <c r="U29" i="1"/>
  <c r="V29" i="1"/>
  <c r="S30" i="1"/>
  <c r="T30" i="1"/>
  <c r="U30" i="1"/>
  <c r="V30" i="1"/>
  <c r="S31" i="1"/>
  <c r="T31" i="1"/>
  <c r="U31" i="1"/>
  <c r="V31" i="1"/>
  <c r="T28" i="1"/>
  <c r="U28" i="1"/>
  <c r="V28" i="1"/>
  <c r="S28" i="1"/>
  <c r="S21" i="1" a="1"/>
  <c r="S21" i="1" s="1"/>
  <c r="O21" i="1" a="1"/>
  <c r="O21" i="1" s="1"/>
  <c r="V15" i="1"/>
  <c r="T16" i="1"/>
  <c r="T17" i="1"/>
  <c r="U17" i="1"/>
  <c r="S17" i="1"/>
  <c r="S15" i="1"/>
  <c r="I22" i="1" a="1"/>
  <c r="I22" i="1" s="1"/>
  <c r="I15" i="1" a="1"/>
  <c r="I15" i="1" s="1"/>
  <c r="S16" i="1" l="1"/>
  <c r="V16" i="1"/>
  <c r="U15" i="1"/>
  <c r="V17" i="1"/>
  <c r="U16" i="1"/>
  <c r="T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<sst xmlns="http://schemas.openxmlformats.org/spreadsheetml/2006/main" count="85" uniqueCount="73">
  <si>
    <t>Self Attention</t>
  </si>
  <si>
    <t>x1</t>
  </si>
  <si>
    <t>x2</t>
  </si>
  <si>
    <t>x3</t>
  </si>
  <si>
    <t>x4</t>
  </si>
  <si>
    <t>X</t>
  </si>
  <si>
    <t>Input</t>
  </si>
  <si>
    <t>Sequence</t>
  </si>
  <si>
    <t>Q = Wq * X</t>
  </si>
  <si>
    <t>q1</t>
  </si>
  <si>
    <t>q2</t>
  </si>
  <si>
    <t>q3</t>
  </si>
  <si>
    <t>q4</t>
  </si>
  <si>
    <t>Wq</t>
  </si>
  <si>
    <t>Linear transformation matrices</t>
  </si>
  <si>
    <t>Query vectors</t>
  </si>
  <si>
    <t>K = Wk * X</t>
  </si>
  <si>
    <t>Wk</t>
  </si>
  <si>
    <t>k1</t>
  </si>
  <si>
    <t>k2</t>
  </si>
  <si>
    <t>k3</t>
  </si>
  <si>
    <t>k4</t>
  </si>
  <si>
    <t>Key vectors</t>
  </si>
  <si>
    <t>Q</t>
  </si>
  <si>
    <t>Copy Query vectors</t>
  </si>
  <si>
    <t>K^T*Q</t>
  </si>
  <si>
    <t>K^T</t>
  </si>
  <si>
    <t>Transpose of key vectors</t>
  </si>
  <si>
    <t>Equivalent to taking dot product between every pair of query and key vectors</t>
  </si>
  <si>
    <t>Purpose: use dt product as an estimate of the "matching score" between every key-value pair</t>
  </si>
  <si>
    <t>This estimate makes sense because dot product is the numerator of Cosine Similarity between two vectors</t>
  </si>
  <si>
    <t>r=K^T * Q / sqrt (dk)</t>
  </si>
  <si>
    <t>Scale each element by sqrt of dk, which is the dimmension of key vectors (dk=3)</t>
  </si>
  <si>
    <t>Purpose: normalize the impact of the dk on matching scores, even if we scale dk to 32, 64 or 127</t>
  </si>
  <si>
    <t>to simplify hand calculatioon, we aproximate ()/sqrt(3) with floor ()/2</t>
  </si>
  <si>
    <t>Scale</t>
  </si>
  <si>
    <t>dk=</t>
  </si>
  <si>
    <t>[] / sqrt(dk)</t>
  </si>
  <si>
    <t>= floor ([]/2)</t>
  </si>
  <si>
    <t>/</t>
  </si>
  <si>
    <t>Softmax</t>
  </si>
  <si>
    <t>exponentize</t>
  </si>
  <si>
    <t>e^[]</t>
  </si>
  <si>
    <t>=3^[]</t>
  </si>
  <si>
    <t>Raise e to the power of he number in each cell</t>
  </si>
  <si>
    <t>to simplify hand calculation, we approximate e^[] with 3^[]</t>
  </si>
  <si>
    <t>r[i]</t>
  </si>
  <si>
    <t>SUM r[i]</t>
  </si>
  <si>
    <t>Divide by sum</t>
  </si>
  <si>
    <t>A= softmax (K^T * Q / sqrt (dk))</t>
  </si>
  <si>
    <t>Attention</t>
  </si>
  <si>
    <t>Weight</t>
  </si>
  <si>
    <t>Matrix</t>
  </si>
  <si>
    <t>Z= V * A</t>
  </si>
  <si>
    <t>z1</t>
  </si>
  <si>
    <t>z2</t>
  </si>
  <si>
    <t>z3</t>
  </si>
  <si>
    <t>z4</t>
  </si>
  <si>
    <t>Wv</t>
  </si>
  <si>
    <t>Value vectors</t>
  </si>
  <si>
    <t>V= Wv * X</t>
  </si>
  <si>
    <t>v1</t>
  </si>
  <si>
    <t>v2</t>
  </si>
  <si>
    <t>v3</t>
  </si>
  <si>
    <t>v4</t>
  </si>
  <si>
    <t>Weighted</t>
  </si>
  <si>
    <t>Features</t>
  </si>
  <si>
    <t>Attention weighted features Zs</t>
  </si>
  <si>
    <t>They are fed to the position-wise feed forward network in the next layer</t>
  </si>
  <si>
    <t>FFN</t>
  </si>
  <si>
    <t>MatMul1</t>
  </si>
  <si>
    <t>MatMul2</t>
  </si>
  <si>
    <t>https://x.com/ProfTomYeh/status/1839706195508208089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</si>
</sst>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0" borderId="0" xfId="0" quotePrefix="1"/>
    <xf numFmtId="0" fontId="0" fillId="3" borderId="0" xfId="0" applyFill="1"/>
    <xf numFmtId="164" fontId="0" fillId="0" borderId="1" xfId="0" applyNumberFormat="1" applyBorder="1"/>
    <xf numFmtId="0" fontId="0" fillId="0" borderId="2" xfId="0" applyBorder="1"/>
    <xf numFmtId="0" fontId="0" fillId="4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quotePrefix="1" applyBorder="1"/>
    <xf numFmtId="0" fontId="0" fillId="0" borderId="0" xfId="0" quotePrefix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5" borderId="1" xfId="0" applyNumberForma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" fontId="0" fillId="6" borderId="1" xfId="0" applyNumberFormat="1" applyFill="1" applyBorder="1"/>
    <xf numFmtId="0" fontId="0" fillId="7" borderId="0" xfId="0" applyFill="1"/>
    <xf numFmtId="0" fontId="1" fillId="0" borderId="0" xfId="0" applyFont="1"/>
    <xf numFmtId="0" fontId="0" fillId="8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17</xdr:row>
      <xdr:rowOff>85725</xdr:rowOff>
    </xdr:from>
    <xdr:to>
      <xdr:col>20</xdr:col>
      <xdr:colOff>0</xdr:colOff>
      <xdr:row>19</xdr:row>
      <xdr:rowOff>47625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182B84D-D41A-57D0-883F-A967D44EAE44}"/>
            </a:ext>
          </a:extLst>
        </xdr:cNvPr>
        <xdr:cNvCxnSpPr/>
      </xdr:nvCxnSpPr>
      <xdr:spPr>
        <a:xfrm>
          <a:off x="6191250" y="1419225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10</xdr:row>
      <xdr:rowOff>47625</xdr:rowOff>
    </xdr:from>
    <xdr:to>
      <xdr:col>10</xdr:col>
      <xdr:colOff>9525</xdr:colOff>
      <xdr:row>12</xdr:row>
      <xdr:rowOff>9525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02BF706-A277-4BD0-862D-C6F9D92A6CBF}"/>
            </a:ext>
          </a:extLst>
        </xdr:cNvPr>
        <xdr:cNvCxnSpPr/>
      </xdr:nvCxnSpPr>
      <xdr:spPr>
        <a:xfrm>
          <a:off x="3228975" y="1952625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</xdr:colOff>
      <xdr:row>22</xdr:row>
      <xdr:rowOff>0</xdr:rowOff>
    </xdr:from>
    <xdr:to>
      <xdr:col>17</xdr:col>
      <xdr:colOff>304800</xdr:colOff>
      <xdr:row>22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511056D-FAB2-460B-A7F8-BF14391C1E3B}"/>
            </a:ext>
          </a:extLst>
        </xdr:cNvPr>
        <xdr:cNvCxnSpPr/>
      </xdr:nvCxnSpPr>
      <xdr:spPr>
        <a:xfrm>
          <a:off x="5362575" y="2286000"/>
          <a:ext cx="257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15</xdr:row>
      <xdr:rowOff>95250</xdr:rowOff>
    </xdr:from>
    <xdr:to>
      <xdr:col>7</xdr:col>
      <xdr:colOff>428625</xdr:colOff>
      <xdr:row>15</xdr:row>
      <xdr:rowOff>95250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6EF4978-1BB4-4A42-8CB5-A692D97436CA}"/>
            </a:ext>
          </a:extLst>
        </xdr:cNvPr>
        <xdr:cNvCxnSpPr/>
      </xdr:nvCxnSpPr>
      <xdr:spPr>
        <a:xfrm>
          <a:off x="2266950" y="2952750"/>
          <a:ext cx="257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22</xdr:row>
      <xdr:rowOff>114300</xdr:rowOff>
    </xdr:from>
    <xdr:to>
      <xdr:col>7</xdr:col>
      <xdr:colOff>409575</xdr:colOff>
      <xdr:row>22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183579E-25E6-4402-BBEB-58EE3C4E2ED1}"/>
            </a:ext>
          </a:extLst>
        </xdr:cNvPr>
        <xdr:cNvCxnSpPr/>
      </xdr:nvCxnSpPr>
      <xdr:spPr>
        <a:xfrm>
          <a:off x="2247900" y="4305300"/>
          <a:ext cx="257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24</xdr:row>
      <xdr:rowOff>133350</xdr:rowOff>
    </xdr:from>
    <xdr:to>
      <xdr:col>20</xdr:col>
      <xdr:colOff>0</xdr:colOff>
      <xdr:row>26</xdr:row>
      <xdr:rowOff>95250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AFF61D7-A82D-4B0C-B2D5-5083806A62EF}"/>
            </a:ext>
          </a:extLst>
        </xdr:cNvPr>
        <xdr:cNvCxnSpPr/>
      </xdr:nvCxnSpPr>
      <xdr:spPr>
        <a:xfrm>
          <a:off x="6191250" y="4705350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31</xdr:row>
      <xdr:rowOff>19050</xdr:rowOff>
    </xdr:from>
    <xdr:to>
      <xdr:col>20</xdr:col>
      <xdr:colOff>9525</xdr:colOff>
      <xdr:row>32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220AD8E-3F11-4B15-9DDB-8EA7EFEF9EDA}"/>
            </a:ext>
          </a:extLst>
        </xdr:cNvPr>
        <xdr:cNvCxnSpPr/>
      </xdr:nvCxnSpPr>
      <xdr:spPr>
        <a:xfrm>
          <a:off x="6276975" y="5924550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40</xdr:row>
      <xdr:rowOff>104775</xdr:rowOff>
    </xdr:from>
    <xdr:to>
      <xdr:col>20</xdr:col>
      <xdr:colOff>9525</xdr:colOff>
      <xdr:row>42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80D091F-92CB-4323-A332-C0B7C502A920}"/>
            </a:ext>
          </a:extLst>
        </xdr:cNvPr>
        <xdr:cNvCxnSpPr/>
      </xdr:nvCxnSpPr>
      <xdr:spPr>
        <a:xfrm>
          <a:off x="6276975" y="77438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52</xdr:row>
      <xdr:rowOff>114300</xdr:rowOff>
    </xdr:from>
    <xdr:to>
      <xdr:col>7</xdr:col>
      <xdr:colOff>409575</xdr:colOff>
      <xdr:row>52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D93DD02-4B29-4C6A-8322-FD29CCF2BE12}"/>
            </a:ext>
          </a:extLst>
        </xdr:cNvPr>
        <xdr:cNvCxnSpPr/>
      </xdr:nvCxnSpPr>
      <xdr:spPr>
        <a:xfrm>
          <a:off x="2247900" y="4305300"/>
          <a:ext cx="257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47</xdr:row>
      <xdr:rowOff>114300</xdr:rowOff>
    </xdr:from>
    <xdr:to>
      <xdr:col>20</xdr:col>
      <xdr:colOff>19050</xdr:colOff>
      <xdr:row>49</xdr:row>
      <xdr:rowOff>85725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A3C4086-FC6F-4971-9247-327205A64D67}"/>
            </a:ext>
          </a:extLst>
        </xdr:cNvPr>
        <xdr:cNvCxnSpPr/>
      </xdr:nvCxnSpPr>
      <xdr:spPr>
        <a:xfrm>
          <a:off x="6286500" y="9086850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52</xdr:row>
      <xdr:rowOff>95250</xdr:rowOff>
    </xdr:from>
    <xdr:to>
      <xdr:col>12</xdr:col>
      <xdr:colOff>381000</xdr:colOff>
      <xdr:row>52</xdr:row>
      <xdr:rowOff>95250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05AD822-BB33-4CBA-87E9-D0307ECCEA99}"/>
            </a:ext>
          </a:extLst>
        </xdr:cNvPr>
        <xdr:cNvCxnSpPr/>
      </xdr:nvCxnSpPr>
      <xdr:spPr>
        <a:xfrm>
          <a:off x="3857625" y="10020300"/>
          <a:ext cx="2571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0</xdr:colOff>
      <xdr:row>1</xdr:row>
      <xdr:rowOff>0</xdr:rowOff>
    </xdr:from>
    <xdr:to>
      <xdr:col>25</xdr:col>
      <xdr:colOff>47467</xdr:colOff>
      <xdr:row>17</xdr:row>
      <xdr:rowOff>9143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5F92B9C-BF46-6B15-0276-7122D1C8A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5" y="238125"/>
          <a:ext cx="1266667" cy="3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F8E1-F1EB-4505-8166-6144EEECAFC1}">
  <dimension ref="B1:X56"/>
  <sheetViews>
    <sheetView tabSelected="1" workbookViewId="0">
      <selection activeCell="N5" sqref="N5"/>
    </sheetView>
  </sheetViews>
  <sheetFormatPr defaultRowHeight="15" x14ac:dyDescent="0.25"/>
  <cols>
    <col min="2" max="7" width="3.7109375" customWidth="1"/>
    <col min="9" max="12" width="3.85546875" customWidth="1"/>
    <col min="13" max="13" width="7.140625" customWidth="1"/>
    <col min="14" max="17" width="4.140625" customWidth="1"/>
    <col min="18" max="19" width="5.140625" customWidth="1"/>
    <col min="20" max="21" width="4" customWidth="1"/>
    <col min="22" max="22" width="5" customWidth="1"/>
  </cols>
  <sheetData>
    <row r="1" spans="2:22" ht="18.75" x14ac:dyDescent="0.3">
      <c r="I1" s="24" t="s">
        <v>0</v>
      </c>
      <c r="N1" t="s">
        <v>72</v>
      </c>
    </row>
    <row r="3" spans="2:22" x14ac:dyDescent="0.25">
      <c r="H3" t="s">
        <v>6</v>
      </c>
      <c r="I3" t="s">
        <v>5</v>
      </c>
    </row>
    <row r="4" spans="2:22" x14ac:dyDescent="0.25">
      <c r="H4" t="s">
        <v>7</v>
      </c>
      <c r="I4" t="s">
        <v>1</v>
      </c>
      <c r="J4" t="s">
        <v>2</v>
      </c>
      <c r="K4" t="s">
        <v>3</v>
      </c>
      <c r="L4" t="s">
        <v>4</v>
      </c>
    </row>
    <row r="5" spans="2:22" x14ac:dyDescent="0.25">
      <c r="I5" s="1">
        <v>2</v>
      </c>
      <c r="J5" s="1">
        <v>0</v>
      </c>
      <c r="K5" s="1">
        <v>0</v>
      </c>
      <c r="L5" s="1">
        <v>2</v>
      </c>
      <c r="M5" s="3"/>
    </row>
    <row r="6" spans="2:22" x14ac:dyDescent="0.25">
      <c r="I6" s="1">
        <v>0</v>
      </c>
      <c r="J6" s="1">
        <v>1</v>
      </c>
      <c r="K6" s="1">
        <v>0</v>
      </c>
      <c r="L6" s="1">
        <v>0</v>
      </c>
      <c r="M6" s="3"/>
    </row>
    <row r="7" spans="2:22" x14ac:dyDescent="0.25">
      <c r="I7" s="1">
        <v>0</v>
      </c>
      <c r="J7" s="1">
        <v>2</v>
      </c>
      <c r="K7" s="1">
        <v>1</v>
      </c>
      <c r="L7" s="1">
        <v>0</v>
      </c>
      <c r="M7" s="3"/>
    </row>
    <row r="8" spans="2:22" x14ac:dyDescent="0.25">
      <c r="I8" s="1">
        <v>0</v>
      </c>
      <c r="J8" s="1">
        <v>0</v>
      </c>
      <c r="K8" s="1">
        <v>1</v>
      </c>
      <c r="L8" s="1">
        <v>1</v>
      </c>
      <c r="M8" s="3"/>
    </row>
    <row r="9" spans="2:22" x14ac:dyDescent="0.25">
      <c r="I9" s="1">
        <v>2</v>
      </c>
      <c r="J9" s="1">
        <v>0</v>
      </c>
      <c r="K9" s="1">
        <v>0</v>
      </c>
      <c r="L9" s="1">
        <v>0</v>
      </c>
      <c r="M9" s="3"/>
    </row>
    <row r="10" spans="2:22" x14ac:dyDescent="0.25">
      <c r="I10" s="1">
        <v>1</v>
      </c>
      <c r="J10" s="1">
        <v>0</v>
      </c>
      <c r="K10" s="1">
        <v>1</v>
      </c>
      <c r="L10" s="1">
        <v>1</v>
      </c>
      <c r="M10" s="3"/>
    </row>
    <row r="12" spans="2:22" x14ac:dyDescent="0.25">
      <c r="I12" s="25" t="s">
        <v>8</v>
      </c>
      <c r="S12" t="s">
        <v>23</v>
      </c>
    </row>
    <row r="13" spans="2:22" x14ac:dyDescent="0.25">
      <c r="B13" t="s">
        <v>14</v>
      </c>
      <c r="I13" t="s">
        <v>15</v>
      </c>
      <c r="S13" t="s">
        <v>24</v>
      </c>
    </row>
    <row r="14" spans="2:22" x14ac:dyDescent="0.25">
      <c r="B14" t="s">
        <v>13</v>
      </c>
      <c r="I14" t="s">
        <v>9</v>
      </c>
      <c r="J14" t="s">
        <v>10</v>
      </c>
      <c r="K14" t="s">
        <v>11</v>
      </c>
      <c r="L14" t="s">
        <v>12</v>
      </c>
      <c r="S14" t="s">
        <v>9</v>
      </c>
      <c r="T14" t="s">
        <v>10</v>
      </c>
      <c r="U14" t="s">
        <v>11</v>
      </c>
      <c r="V14" t="s">
        <v>12</v>
      </c>
    </row>
    <row r="15" spans="2:22" x14ac:dyDescent="0.25">
      <c r="B15" s="2">
        <v>1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I15" s="1" cm="1">
        <f t="array" ref="I15:L17">MMULT(B15:G17,I5:L10)</f>
        <v>2</v>
      </c>
      <c r="J15" s="1">
        <v>1</v>
      </c>
      <c r="K15" s="1">
        <v>0</v>
      </c>
      <c r="L15" s="1">
        <v>2</v>
      </c>
      <c r="M15" s="3"/>
      <c r="S15" s="1">
        <f>I15</f>
        <v>2</v>
      </c>
      <c r="T15" s="1">
        <f>J15</f>
        <v>1</v>
      </c>
      <c r="U15" s="1">
        <f>K15</f>
        <v>0</v>
      </c>
      <c r="V15" s="1">
        <f>L15</f>
        <v>2</v>
      </c>
    </row>
    <row r="16" spans="2:22" x14ac:dyDescent="0.25">
      <c r="B16" s="2">
        <v>0</v>
      </c>
      <c r="C16" s="2">
        <v>1</v>
      </c>
      <c r="D16" s="2">
        <v>0</v>
      </c>
      <c r="E16" s="2">
        <v>1</v>
      </c>
      <c r="F16" s="2">
        <v>0</v>
      </c>
      <c r="G16" s="2">
        <v>0</v>
      </c>
      <c r="I16" s="1">
        <v>0</v>
      </c>
      <c r="J16" s="1">
        <v>1</v>
      </c>
      <c r="K16" s="1">
        <v>1</v>
      </c>
      <c r="L16" s="1">
        <v>1</v>
      </c>
      <c r="M16" s="3"/>
      <c r="S16" s="1">
        <f>I16</f>
        <v>0</v>
      </c>
      <c r="T16" s="1">
        <f>J16</f>
        <v>1</v>
      </c>
      <c r="U16" s="1">
        <f>K16</f>
        <v>1</v>
      </c>
      <c r="V16" s="1">
        <f>L16</f>
        <v>1</v>
      </c>
    </row>
    <row r="17" spans="2:24" x14ac:dyDescent="0.25">
      <c r="B17" s="2">
        <v>0</v>
      </c>
      <c r="C17" s="2">
        <v>0</v>
      </c>
      <c r="D17" s="2">
        <v>1</v>
      </c>
      <c r="E17" s="2">
        <v>0</v>
      </c>
      <c r="F17" s="2">
        <v>1</v>
      </c>
      <c r="G17" s="2">
        <v>1</v>
      </c>
      <c r="I17" s="1">
        <v>3</v>
      </c>
      <c r="J17" s="1">
        <v>2</v>
      </c>
      <c r="K17" s="1">
        <v>2</v>
      </c>
      <c r="L17" s="1">
        <v>1</v>
      </c>
      <c r="M17" s="3"/>
      <c r="S17" s="1">
        <f>I17</f>
        <v>3</v>
      </c>
      <c r="T17" s="1">
        <f>J17</f>
        <v>2</v>
      </c>
      <c r="U17" s="1">
        <f>K17</f>
        <v>2</v>
      </c>
      <c r="V17" s="1">
        <f>L17</f>
        <v>1</v>
      </c>
    </row>
    <row r="19" spans="2:24" x14ac:dyDescent="0.25">
      <c r="I19" s="25" t="s">
        <v>16</v>
      </c>
      <c r="O19" t="s">
        <v>27</v>
      </c>
    </row>
    <row r="20" spans="2:24" x14ac:dyDescent="0.25">
      <c r="I20" t="s">
        <v>22</v>
      </c>
      <c r="O20" t="s">
        <v>26</v>
      </c>
      <c r="S20" t="s">
        <v>25</v>
      </c>
      <c r="U20" s="23" t="s">
        <v>70</v>
      </c>
      <c r="V20" s="23"/>
      <c r="X20" t="s">
        <v>28</v>
      </c>
    </row>
    <row r="21" spans="2:24" x14ac:dyDescent="0.25">
      <c r="B21" t="s">
        <v>17</v>
      </c>
      <c r="I21" t="s">
        <v>18</v>
      </c>
      <c r="J21" t="s">
        <v>19</v>
      </c>
      <c r="K21" t="s">
        <v>20</v>
      </c>
      <c r="L21" t="s">
        <v>21</v>
      </c>
      <c r="N21" t="s">
        <v>18</v>
      </c>
      <c r="O21" s="1" cm="1">
        <f t="array" ref="O21:Q24">TRANSPOSE(I22:L24)</f>
        <v>0</v>
      </c>
      <c r="P21" s="1">
        <v>0</v>
      </c>
      <c r="Q21" s="1">
        <v>1</v>
      </c>
      <c r="S21" s="1" cm="1">
        <f t="array" ref="S21:V24">MMULT(O21:Q24,S15:V17)</f>
        <v>3</v>
      </c>
      <c r="T21" s="1">
        <v>2</v>
      </c>
      <c r="U21" s="1">
        <v>2</v>
      </c>
      <c r="V21" s="1">
        <v>1</v>
      </c>
      <c r="X21" t="s">
        <v>29</v>
      </c>
    </row>
    <row r="22" spans="2:24" x14ac:dyDescent="0.25"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I22" s="1" cm="1">
        <f t="array" ref="I22:L24">MMULT(B22:G24,I5:L10)</f>
        <v>0</v>
      </c>
      <c r="J22" s="1">
        <v>2</v>
      </c>
      <c r="K22" s="1">
        <v>1</v>
      </c>
      <c r="L22" s="1">
        <v>0</v>
      </c>
      <c r="M22" s="3"/>
      <c r="N22" t="s">
        <v>19</v>
      </c>
      <c r="O22" s="1">
        <v>2</v>
      </c>
      <c r="P22" s="1">
        <v>1</v>
      </c>
      <c r="Q22" s="1">
        <v>0</v>
      </c>
      <c r="S22" s="1">
        <v>4</v>
      </c>
      <c r="T22" s="1">
        <v>3</v>
      </c>
      <c r="U22" s="1">
        <v>1</v>
      </c>
      <c r="V22" s="1">
        <v>5</v>
      </c>
      <c r="X22" t="s">
        <v>30</v>
      </c>
    </row>
    <row r="23" spans="2:24" x14ac:dyDescent="0.25">
      <c r="B23" s="2">
        <v>0</v>
      </c>
      <c r="C23" s="2">
        <v>1</v>
      </c>
      <c r="D23" s="2">
        <v>0</v>
      </c>
      <c r="E23" s="2">
        <v>0</v>
      </c>
      <c r="F23" s="2">
        <v>0</v>
      </c>
      <c r="G23" s="2">
        <v>0</v>
      </c>
      <c r="I23" s="1">
        <v>0</v>
      </c>
      <c r="J23" s="1">
        <v>1</v>
      </c>
      <c r="K23" s="1">
        <v>0</v>
      </c>
      <c r="L23" s="1">
        <v>0</v>
      </c>
      <c r="M23" s="3"/>
      <c r="N23" t="s">
        <v>20</v>
      </c>
      <c r="O23" s="1">
        <v>1</v>
      </c>
      <c r="P23" s="1">
        <v>0</v>
      </c>
      <c r="Q23" s="1">
        <v>-1</v>
      </c>
      <c r="S23" s="1">
        <v>-1</v>
      </c>
      <c r="T23" s="1">
        <v>-1</v>
      </c>
      <c r="U23" s="1">
        <v>-2</v>
      </c>
      <c r="V23" s="1">
        <v>1</v>
      </c>
    </row>
    <row r="24" spans="2:24" x14ac:dyDescent="0.25"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-1</v>
      </c>
      <c r="I24" s="1">
        <v>1</v>
      </c>
      <c r="J24" s="1">
        <v>0</v>
      </c>
      <c r="K24" s="1">
        <v>-1</v>
      </c>
      <c r="L24" s="1">
        <v>1</v>
      </c>
      <c r="M24" s="3"/>
      <c r="N24" t="s">
        <v>21</v>
      </c>
      <c r="O24" s="1">
        <v>0</v>
      </c>
      <c r="P24" s="1">
        <v>0</v>
      </c>
      <c r="Q24" s="1">
        <v>1</v>
      </c>
      <c r="S24" s="1">
        <v>3</v>
      </c>
      <c r="T24" s="1">
        <v>2</v>
      </c>
      <c r="U24" s="1">
        <v>2</v>
      </c>
      <c r="V24" s="1">
        <v>1</v>
      </c>
    </row>
    <row r="26" spans="2:24" x14ac:dyDescent="0.25">
      <c r="S26" t="s">
        <v>31</v>
      </c>
    </row>
    <row r="27" spans="2:24" x14ac:dyDescent="0.25">
      <c r="N27" s="5" t="s">
        <v>35</v>
      </c>
      <c r="O27" s="5"/>
      <c r="X27" t="s">
        <v>32</v>
      </c>
    </row>
    <row r="28" spans="2:24" x14ac:dyDescent="0.25">
      <c r="N28" t="s">
        <v>36</v>
      </c>
      <c r="O28">
        <v>3</v>
      </c>
      <c r="S28" s="26">
        <f>FLOOR(S21/2,1)</f>
        <v>1</v>
      </c>
      <c r="T28" s="26">
        <f t="shared" ref="T28:V28" si="0">FLOOR(T21/2,1)</f>
        <v>1</v>
      </c>
      <c r="U28" s="26">
        <f t="shared" si="0"/>
        <v>1</v>
      </c>
      <c r="V28" s="26">
        <f t="shared" si="0"/>
        <v>0</v>
      </c>
      <c r="X28" t="s">
        <v>33</v>
      </c>
    </row>
    <row r="29" spans="2:24" x14ac:dyDescent="0.25">
      <c r="N29" t="s">
        <v>37</v>
      </c>
      <c r="S29" s="26">
        <f t="shared" ref="S29:V29" si="1">FLOOR(S22/2,1)</f>
        <v>2</v>
      </c>
      <c r="T29" s="26">
        <f t="shared" si="1"/>
        <v>1</v>
      </c>
      <c r="U29" s="26">
        <f t="shared" si="1"/>
        <v>0</v>
      </c>
      <c r="V29" s="26">
        <f t="shared" si="1"/>
        <v>2</v>
      </c>
      <c r="X29" t="s">
        <v>34</v>
      </c>
    </row>
    <row r="30" spans="2:24" x14ac:dyDescent="0.25">
      <c r="N30" s="4" t="s">
        <v>38</v>
      </c>
      <c r="S30" s="26">
        <f t="shared" ref="S30:V30" si="2">FLOOR(S23/2,1)</f>
        <v>-1</v>
      </c>
      <c r="T30" s="26">
        <f t="shared" si="2"/>
        <v>-1</v>
      </c>
      <c r="U30" s="26">
        <f t="shared" si="2"/>
        <v>-1</v>
      </c>
      <c r="V30" s="26">
        <f t="shared" si="2"/>
        <v>0</v>
      </c>
    </row>
    <row r="31" spans="2:24" x14ac:dyDescent="0.25">
      <c r="S31" s="26">
        <f t="shared" ref="S31:V31" si="3">FLOOR(S24/2,1)</f>
        <v>1</v>
      </c>
      <c r="T31" s="26">
        <f t="shared" si="3"/>
        <v>1</v>
      </c>
      <c r="U31" s="26">
        <f t="shared" si="3"/>
        <v>1</v>
      </c>
      <c r="V31" s="26">
        <f t="shared" si="3"/>
        <v>0</v>
      </c>
    </row>
    <row r="32" spans="2:24" ht="15.75" thickBot="1" x14ac:dyDescent="0.3"/>
    <row r="33" spans="13:24" x14ac:dyDescent="0.25">
      <c r="M33" s="7"/>
      <c r="N33" s="8" t="s">
        <v>40</v>
      </c>
      <c r="O33" s="8"/>
      <c r="P33" s="9"/>
      <c r="Q33" s="9"/>
      <c r="R33" s="9"/>
      <c r="S33" s="9"/>
      <c r="T33" s="9"/>
      <c r="U33" s="9"/>
      <c r="V33" s="9"/>
      <c r="W33" s="10"/>
      <c r="X33" t="s">
        <v>44</v>
      </c>
    </row>
    <row r="34" spans="13:24" x14ac:dyDescent="0.25">
      <c r="M34" s="11"/>
      <c r="N34" s="3" t="s">
        <v>41</v>
      </c>
      <c r="O34" s="3"/>
      <c r="P34" s="3"/>
      <c r="Q34" s="3"/>
      <c r="R34" s="3"/>
      <c r="S34" s="1">
        <f>POWER(3,S28)</f>
        <v>3</v>
      </c>
      <c r="T34" s="1">
        <f t="shared" ref="T34:V34" si="4">POWER(3,T28)</f>
        <v>3</v>
      </c>
      <c r="U34" s="1">
        <f t="shared" si="4"/>
        <v>3</v>
      </c>
      <c r="V34" s="1">
        <f t="shared" si="4"/>
        <v>1</v>
      </c>
      <c r="W34" s="12"/>
      <c r="X34" t="s">
        <v>45</v>
      </c>
    </row>
    <row r="35" spans="13:24" x14ac:dyDescent="0.25">
      <c r="M35" s="11"/>
      <c r="N35" s="3" t="s">
        <v>42</v>
      </c>
      <c r="O35" s="3"/>
      <c r="P35" s="3"/>
      <c r="Q35" s="3"/>
      <c r="R35" s="3"/>
      <c r="S35" s="1">
        <f t="shared" ref="S35:V35" si="5">POWER(3,S29)</f>
        <v>9</v>
      </c>
      <c r="T35" s="1">
        <f t="shared" si="5"/>
        <v>3</v>
      </c>
      <c r="U35" s="1">
        <f t="shared" si="5"/>
        <v>1</v>
      </c>
      <c r="V35" s="1">
        <f t="shared" si="5"/>
        <v>9</v>
      </c>
      <c r="W35" s="12"/>
    </row>
    <row r="36" spans="13:24" x14ac:dyDescent="0.25">
      <c r="M36" s="11"/>
      <c r="N36" s="13" t="s">
        <v>43</v>
      </c>
      <c r="O36" s="3"/>
      <c r="P36" s="3"/>
      <c r="Q36" s="3"/>
      <c r="R36" s="3"/>
      <c r="S36" s="1">
        <f t="shared" ref="S36:V36" si="6">POWER(3,S30)</f>
        <v>0.33333333333333331</v>
      </c>
      <c r="T36" s="1">
        <f t="shared" si="6"/>
        <v>0.33333333333333331</v>
      </c>
      <c r="U36" s="1">
        <f t="shared" si="6"/>
        <v>0.33333333333333331</v>
      </c>
      <c r="V36" s="1">
        <f t="shared" si="6"/>
        <v>1</v>
      </c>
      <c r="W36" s="12"/>
    </row>
    <row r="37" spans="13:24" x14ac:dyDescent="0.25">
      <c r="M37" s="11"/>
      <c r="N37" s="3"/>
      <c r="O37" s="3"/>
      <c r="P37" s="3"/>
      <c r="Q37" s="3"/>
      <c r="R37" s="3"/>
      <c r="S37" s="1">
        <f t="shared" ref="S37:V37" si="7">POWER(3,S31)</f>
        <v>3</v>
      </c>
      <c r="T37" s="1">
        <f t="shared" si="7"/>
        <v>3</v>
      </c>
      <c r="U37" s="1">
        <f t="shared" si="7"/>
        <v>3</v>
      </c>
      <c r="V37" s="1">
        <f t="shared" si="7"/>
        <v>1</v>
      </c>
      <c r="W37" s="12" t="s">
        <v>46</v>
      </c>
    </row>
    <row r="38" spans="13:24" x14ac:dyDescent="0.25">
      <c r="M38" s="11"/>
      <c r="N38" s="3" t="s">
        <v>48</v>
      </c>
      <c r="O38" s="3"/>
      <c r="P38" s="3"/>
      <c r="Q38" s="3"/>
      <c r="R38" s="3"/>
      <c r="S38" s="14" t="s">
        <v>39</v>
      </c>
      <c r="T38" s="14" t="s">
        <v>39</v>
      </c>
      <c r="U38" s="14" t="s">
        <v>39</v>
      </c>
      <c r="V38" s="14" t="s">
        <v>39</v>
      </c>
      <c r="W38" s="12"/>
    </row>
    <row r="39" spans="13:24" x14ac:dyDescent="0.25">
      <c r="M39" s="11"/>
      <c r="N39" s="3"/>
      <c r="O39" s="3"/>
      <c r="P39" s="3"/>
      <c r="Q39" s="3"/>
      <c r="R39" s="3"/>
      <c r="S39" s="6">
        <f>SUM(S34:S37)</f>
        <v>15.333333333333334</v>
      </c>
      <c r="T39" s="6">
        <f t="shared" ref="T39:V39" si="8">SUM(T34:T37)</f>
        <v>9.3333333333333321</v>
      </c>
      <c r="U39" s="6">
        <f t="shared" si="8"/>
        <v>7.333333333333333</v>
      </c>
      <c r="V39" s="6">
        <f t="shared" si="8"/>
        <v>12</v>
      </c>
      <c r="W39" s="12" t="s">
        <v>47</v>
      </c>
    </row>
    <row r="40" spans="13:24" ht="15.75" thickBot="1" x14ac:dyDescent="0.3">
      <c r="M40" s="15"/>
      <c r="N40" s="16"/>
      <c r="O40" s="16"/>
      <c r="P40" s="16"/>
      <c r="Q40" s="16"/>
      <c r="R40" s="16"/>
      <c r="S40" s="16"/>
      <c r="T40" s="16"/>
      <c r="U40" s="16"/>
      <c r="V40" s="16"/>
      <c r="W40" s="17"/>
    </row>
    <row r="42" spans="13:24" x14ac:dyDescent="0.25">
      <c r="N42" t="s">
        <v>50</v>
      </c>
      <c r="S42" t="s">
        <v>49</v>
      </c>
    </row>
    <row r="43" spans="13:24" x14ac:dyDescent="0.25">
      <c r="N43" t="s">
        <v>51</v>
      </c>
    </row>
    <row r="44" spans="13:24" x14ac:dyDescent="0.25">
      <c r="N44" t="s">
        <v>52</v>
      </c>
      <c r="S44" s="18">
        <f>S34/S39</f>
        <v>0.19565217391304346</v>
      </c>
      <c r="T44" s="18">
        <f t="shared" ref="T44:V44" si="9">T34/T39</f>
        <v>0.32142857142857145</v>
      </c>
      <c r="U44" s="18">
        <f t="shared" si="9"/>
        <v>0.40909090909090912</v>
      </c>
      <c r="V44" s="18">
        <f t="shared" si="9"/>
        <v>8.3333333333333329E-2</v>
      </c>
    </row>
    <row r="45" spans="13:24" x14ac:dyDescent="0.25">
      <c r="S45" s="18">
        <f>S35/S39</f>
        <v>0.58695652173913038</v>
      </c>
      <c r="T45" s="18">
        <f t="shared" ref="T45:V45" si="10">T35/T39</f>
        <v>0.32142857142857145</v>
      </c>
      <c r="U45" s="18">
        <f t="shared" si="10"/>
        <v>0.13636363636363638</v>
      </c>
      <c r="V45" s="18">
        <f t="shared" si="10"/>
        <v>0.75</v>
      </c>
    </row>
    <row r="46" spans="13:24" x14ac:dyDescent="0.25">
      <c r="S46" s="18">
        <f>S36/S39</f>
        <v>2.1739130434782608E-2</v>
      </c>
      <c r="T46" s="18">
        <f t="shared" ref="T46:V46" si="11">T36/T39</f>
        <v>3.5714285714285719E-2</v>
      </c>
      <c r="U46" s="18">
        <f t="shared" si="11"/>
        <v>4.5454545454545456E-2</v>
      </c>
      <c r="V46" s="18">
        <f t="shared" si="11"/>
        <v>8.3333333333333329E-2</v>
      </c>
    </row>
    <row r="47" spans="13:24" x14ac:dyDescent="0.25">
      <c r="S47" s="18">
        <f>S37/S39</f>
        <v>0.19565217391304346</v>
      </c>
      <c r="T47" s="18">
        <f t="shared" ref="T47:V47" si="12">T37/T39</f>
        <v>0.32142857142857145</v>
      </c>
      <c r="U47" s="18">
        <f t="shared" si="12"/>
        <v>0.40909090909090912</v>
      </c>
      <c r="V47" s="18">
        <f t="shared" si="12"/>
        <v>8.3333333333333329E-2</v>
      </c>
    </row>
    <row r="49" spans="2:24" x14ac:dyDescent="0.25">
      <c r="I49" s="25" t="s">
        <v>60</v>
      </c>
      <c r="S49" t="s">
        <v>53</v>
      </c>
    </row>
    <row r="50" spans="2:24" x14ac:dyDescent="0.25">
      <c r="I50" t="s">
        <v>59</v>
      </c>
      <c r="S50" s="23" t="s">
        <v>71</v>
      </c>
      <c r="T50" s="23"/>
    </row>
    <row r="51" spans="2:24" x14ac:dyDescent="0.25">
      <c r="B51" t="s">
        <v>58</v>
      </c>
      <c r="I51" t="s">
        <v>61</v>
      </c>
      <c r="J51" t="s">
        <v>62</v>
      </c>
      <c r="K51" t="s">
        <v>63</v>
      </c>
      <c r="L51" t="s">
        <v>64</v>
      </c>
      <c r="S51" t="s">
        <v>54</v>
      </c>
      <c r="T51" t="s">
        <v>55</v>
      </c>
      <c r="U51" t="s">
        <v>56</v>
      </c>
      <c r="V51" t="s">
        <v>57</v>
      </c>
      <c r="X51" t="s">
        <v>67</v>
      </c>
    </row>
    <row r="52" spans="2:24" x14ac:dyDescent="0.25">
      <c r="B52" s="2">
        <v>10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I52" s="1" cm="1">
        <f t="array" ref="I52:L54">MMULT(B52:G54,I5:L10)</f>
        <v>20</v>
      </c>
      <c r="J52" s="1">
        <v>0</v>
      </c>
      <c r="K52" s="1">
        <v>0</v>
      </c>
      <c r="L52" s="1">
        <v>20</v>
      </c>
      <c r="N52" t="s">
        <v>50</v>
      </c>
      <c r="S52" s="22" cm="1">
        <f t="array" ref="S52:V54">MMULT(I52:L54,S44:V47)</f>
        <v>7.8260869565217384</v>
      </c>
      <c r="T52" s="22">
        <v>12.857142857142858</v>
      </c>
      <c r="U52" s="22">
        <v>16.363636363636363</v>
      </c>
      <c r="V52" s="22">
        <v>3.333333333333333</v>
      </c>
      <c r="X52" t="s">
        <v>68</v>
      </c>
    </row>
    <row r="53" spans="2:24" x14ac:dyDescent="0.25">
      <c r="B53" s="2">
        <v>0</v>
      </c>
      <c r="C53" s="2">
        <v>0</v>
      </c>
      <c r="D53" s="2">
        <v>0</v>
      </c>
      <c r="E53" s="2">
        <v>10</v>
      </c>
      <c r="F53" s="2">
        <v>0</v>
      </c>
      <c r="G53" s="2">
        <v>0</v>
      </c>
      <c r="I53" s="1">
        <v>0</v>
      </c>
      <c r="J53" s="1">
        <v>0</v>
      </c>
      <c r="K53" s="1">
        <v>10</v>
      </c>
      <c r="L53" s="1">
        <v>10</v>
      </c>
      <c r="N53" t="s">
        <v>65</v>
      </c>
      <c r="S53" s="22">
        <v>2.1739130434782608</v>
      </c>
      <c r="T53" s="22">
        <v>3.5714285714285716</v>
      </c>
      <c r="U53" s="22">
        <v>4.545454545454545</v>
      </c>
      <c r="V53" s="22">
        <v>1.6666666666666665</v>
      </c>
    </row>
    <row r="54" spans="2:24" x14ac:dyDescent="0.25">
      <c r="B54" s="2">
        <v>0</v>
      </c>
      <c r="C54" s="2">
        <v>10</v>
      </c>
      <c r="D54" s="2">
        <v>0</v>
      </c>
      <c r="E54" s="2">
        <v>0</v>
      </c>
      <c r="F54" s="2">
        <v>0</v>
      </c>
      <c r="G54" s="2">
        <v>0</v>
      </c>
      <c r="I54" s="1">
        <v>0</v>
      </c>
      <c r="J54" s="1">
        <v>10</v>
      </c>
      <c r="K54" s="1">
        <v>0</v>
      </c>
      <c r="L54" s="1">
        <v>0</v>
      </c>
      <c r="N54" t="s">
        <v>66</v>
      </c>
      <c r="S54" s="22">
        <v>5.8695652173913038</v>
      </c>
      <c r="T54" s="22">
        <v>3.2142857142857144</v>
      </c>
      <c r="U54" s="22">
        <v>1.3636363636363638</v>
      </c>
      <c r="V54" s="22">
        <v>7.5</v>
      </c>
    </row>
    <row r="55" spans="2:24" ht="15.75" thickBot="1" x14ac:dyDescent="0.3"/>
    <row r="56" spans="2:24" ht="15.75" thickBot="1" x14ac:dyDescent="0.3">
      <c r="S56" s="19" t="s">
        <v>69</v>
      </c>
      <c r="T56" s="20"/>
      <c r="U56" s="20"/>
      <c r="V56" s="21"/>
    </row>
  </sheetData>
  <mergeCells count="1">
    <mergeCell ref="S56:V56"/>
  </mergeCells>
  <pageMargins left="0.7" right="0.7" top="0.75" bottom="0.75" header="0.3" footer="0.3"/>
  <headerFooter>
    <oddFooter>&amp;C_x000D_&amp;1#&amp;"Calibri"&amp;10&amp;K000000 SLB-Private</oddFooter>
  </headerFooter>
  <drawing r:id="rId1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2024-10-03T18:12:30Z</dcterms:created>
  <dcterms:modified xsi:type="dcterms:W3CDTF">2024-10-03T19:12:40Z</dcterms:modified>
</cp:coreProperties>
</file>