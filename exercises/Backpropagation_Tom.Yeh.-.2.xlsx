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218" documentId="8_{F37CEC25-6CF3-4482-A106-1124CA8F070E}" xr6:coauthVersionLast="47" xr6:coauthVersionMax="47" xr10:uidLastSave="{7F953BF4-4AA2-439A-82AC-AC28120239A8}"/>
  <bookViews>
    <workbookView xWindow="-120" yWindow="-120" windowWidth="20730" windowHeight="11310" xr2:uid="{CF209AAE-1781-43A4-8EA8-218FC3840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1" l="1" a="1"/>
  <c r="S34" i="1" s="1"/>
  <c r="S39" i="1" s="1"/>
  <c r="S41" i="1"/>
  <c r="S40" i="1"/>
  <c r="O12" i="1"/>
  <c r="O8" i="1" s="1"/>
  <c r="P24" i="1" a="1"/>
  <c r="P24" i="1" s="1"/>
  <c r="P15" i="1"/>
  <c r="P18" i="1"/>
  <c r="M15" i="1" a="1"/>
  <c r="M15" i="1" s="1"/>
  <c r="P16" i="1" l="1"/>
  <c r="P17" i="1"/>
  <c r="S25" i="1" l="1"/>
  <c r="S24" i="1"/>
  <c r="S42" i="1" l="1"/>
  <c r="V35" i="1" l="1"/>
  <c r="V36" i="1"/>
  <c r="AD36" i="1" s="1"/>
  <c r="V34" i="1"/>
  <c r="AD34" i="1" s="1"/>
  <c r="AD35" i="1"/>
  <c r="V31" i="1" l="1" a="1"/>
  <c r="V31" i="1" l="1"/>
  <c r="W26" i="1"/>
  <c r="X26" i="1"/>
  <c r="V26" i="1" l="1"/>
  <c r="V24" i="1" s="1" a="1"/>
  <c r="V24" i="1" s="1"/>
  <c r="N31" i="1" a="1"/>
  <c r="N31" i="1" l="1"/>
  <c r="U21" i="1" s="1"/>
  <c r="V21" i="1"/>
  <c r="V19" i="1" s="1"/>
  <c r="U19" i="1" l="1"/>
  <c r="U15" i="1" s="1" a="1"/>
  <c r="U15" i="1" s="1"/>
  <c r="I21" i="1" a="1"/>
  <c r="I21" i="1" l="1"/>
  <c r="P12" i="1"/>
  <c r="P8" i="1" s="1"/>
  <c r="R12" i="1"/>
  <c r="R8" i="1" s="1"/>
  <c r="Q12" i="1"/>
  <c r="Q8" i="1" s="1"/>
  <c r="O5" i="1" l="1" a="1"/>
  <c r="O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<sst xmlns="http://schemas.openxmlformats.org/spreadsheetml/2006/main" count="41" uniqueCount="40">
  <si>
    <t>W1</t>
  </si>
  <si>
    <t>b1</t>
  </si>
  <si>
    <t>ReLU</t>
  </si>
  <si>
    <t>A1</t>
  </si>
  <si>
    <t>W2</t>
  </si>
  <si>
    <t>b2</t>
  </si>
  <si>
    <t>Z2</t>
  </si>
  <si>
    <t>A2</t>
  </si>
  <si>
    <t>W3</t>
  </si>
  <si>
    <t>b3</t>
  </si>
  <si>
    <t>Z3</t>
  </si>
  <si>
    <t>Softmax</t>
  </si>
  <si>
    <t>Y predicted</t>
  </si>
  <si>
    <t>Y target</t>
  </si>
  <si>
    <t>Layer 1</t>
  </si>
  <si>
    <t>Layer 2</t>
  </si>
  <si>
    <t>Layer 3</t>
  </si>
  <si>
    <t>S= e^xi / Sum (e^xi)</t>
  </si>
  <si>
    <t>dL/dZ3 = Ypred - Ytarget</t>
  </si>
  <si>
    <t>dL/dZ3</t>
  </si>
  <si>
    <t>Transpose</t>
  </si>
  <si>
    <t>dL/db3 = SUM (dL/dZ3)</t>
  </si>
  <si>
    <t>dL/dW3 = A2 * dL/dZ3</t>
  </si>
  <si>
    <t>dL/dA2 = dL/dZ3 * W3</t>
  </si>
  <si>
    <t>dL/db2 = SUM dL/dZ2</t>
  </si>
  <si>
    <t>dL/dW2 = A1 * dL/dZ2</t>
  </si>
  <si>
    <t>dL/dA1 = dL/dZ2 * W2</t>
  </si>
  <si>
    <t>dL/db1 = SUM dL/dZ1</t>
  </si>
  <si>
    <t>dL/dW1 = X * dL/dZ1</t>
  </si>
  <si>
    <t>Backpropagation</t>
  </si>
  <si>
    <t>Forward</t>
  </si>
  <si>
    <t>Backward</t>
  </si>
  <si>
    <t>X</t>
  </si>
  <si>
    <t>Input vector</t>
  </si>
  <si>
    <t>z1</t>
  </si>
  <si>
    <t>=</t>
  </si>
  <si>
    <t>minus</t>
  </si>
  <si>
    <t>A3</t>
  </si>
  <si>
    <t>dL/dZ1 = dL/dA1, if Z1&gt;0, else 0</t>
  </si>
  <si>
    <t>dL/dZ2 = dL/dA2, if Z2&gt;0, else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</si>
</sst>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2" fillId="0" borderId="0" xfId="0" applyFont="1"/>
    <xf numFmtId="0" fontId="2" fillId="2" borderId="0" xfId="0" applyFont="1" applyFill="1"/>
    <xf numFmtId="0" fontId="1" fillId="0" borderId="0" xfId="0" applyFont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0" fontId="0" fillId="2" borderId="0" xfId="0" applyFill="1"/>
    <xf numFmtId="0" fontId="5" fillId="0" borderId="0" xfId="0" applyFont="1"/>
    <xf numFmtId="0" fontId="0" fillId="3" borderId="0" xfId="0" applyFill="1"/>
    <xf numFmtId="0" fontId="0" fillId="0" borderId="0" xfId="0" quotePrefix="1"/>
    <xf numFmtId="0" fontId="6" fillId="0" borderId="0" xfId="0" applyFont="1"/>
    <xf numFmtId="0" fontId="6" fillId="0" borderId="1" xfId="0" applyFont="1" applyBorder="1"/>
    <xf numFmtId="164" fontId="2" fillId="6" borderId="1" xfId="0" applyNumberFormat="1" applyFont="1" applyFill="1" applyBorder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158750</xdr:colOff>
      <xdr:row>9</xdr:row>
      <xdr:rowOff>74840</xdr:rowOff>
    </xdr:from>
    <xdr:to>
      <xdr:col>12</xdr:col>
      <xdr:colOff>158750</xdr:colOff>
      <xdr:row>12</xdr:row>
      <xdr:rowOff>22679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632098B-12FF-3200-BB21-577186056F3A}"/>
            </a:ext>
          </a:extLst>
        </xdr:cNvPr>
        <xdr:cNvCxnSpPr/>
      </xdr:nvCxnSpPr>
      <xdr:spPr>
        <a:xfrm>
          <a:off x="5159375" y="1855108"/>
          <a:ext cx="0" cy="5261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66222</xdr:colOff>
      <xdr:row>16</xdr:row>
      <xdr:rowOff>22678</xdr:rowOff>
    </xdr:from>
    <xdr:to>
      <xdr:col>11</xdr:col>
      <xdr:colOff>294822</xdr:colOff>
      <xdr:row>16</xdr:row>
      <xdr:rowOff>27215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86CC3EF-63EE-4CA1-AF85-751C554CDF57}"/>
            </a:ext>
          </a:extLst>
        </xdr:cNvPr>
        <xdr:cNvCxnSpPr/>
      </xdr:nvCxnSpPr>
      <xdr:spPr>
        <a:xfrm flipV="1">
          <a:off x="4488543" y="3152321"/>
          <a:ext cx="500743" cy="45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106135</xdr:colOff>
      <xdr:row>23</xdr:row>
      <xdr:rowOff>169636</xdr:rowOff>
    </xdr:from>
    <xdr:to>
      <xdr:col>14</xdr:col>
      <xdr:colOff>43995</xdr:colOff>
      <xdr:row>23</xdr:row>
      <xdr:rowOff>181429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1E61378-6684-40A9-9885-F15750BF7E21}"/>
            </a:ext>
          </a:extLst>
        </xdr:cNvPr>
        <xdr:cNvCxnSpPr/>
      </xdr:nvCxnSpPr>
      <xdr:spPr>
        <a:xfrm>
          <a:off x="5435599" y="4648654"/>
          <a:ext cx="266700" cy="117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145597</xdr:colOff>
      <xdr:row>19</xdr:row>
      <xdr:rowOff>136072</xdr:rowOff>
    </xdr:from>
    <xdr:to>
      <xdr:col>15</xdr:col>
      <xdr:colOff>147411</xdr:colOff>
      <xdr:row>21</xdr:row>
      <xdr:rowOff>170543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7F81517-E074-46F9-BDFB-20906E6A89DE}"/>
            </a:ext>
          </a:extLst>
        </xdr:cNvPr>
        <xdr:cNvCxnSpPr/>
      </xdr:nvCxnSpPr>
      <xdr:spPr>
        <a:xfrm flipH="1">
          <a:off x="6076043" y="3844018"/>
          <a:ext cx="1814" cy="4200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147410</xdr:colOff>
      <xdr:row>26</xdr:row>
      <xdr:rowOff>79375</xdr:rowOff>
    </xdr:from>
    <xdr:to>
      <xdr:col>18</xdr:col>
      <xdr:colOff>156936</xdr:colOff>
      <xdr:row>31</xdr:row>
      <xdr:rowOff>136071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FE9948D-3960-4FDA-B4D0-E52A9956312C}"/>
            </a:ext>
          </a:extLst>
        </xdr:cNvPr>
        <xdr:cNvCxnSpPr/>
      </xdr:nvCxnSpPr>
      <xdr:spPr>
        <a:xfrm flipH="1">
          <a:off x="6962321" y="5136696"/>
          <a:ext cx="9526" cy="10205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34</xdr:row>
      <xdr:rowOff>114300</xdr:rowOff>
    </xdr:from>
    <xdr:to>
      <xdr:col>17</xdr:col>
      <xdr:colOff>272143</xdr:colOff>
      <xdr:row>34</xdr:row>
      <xdr:rowOff>124732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32CBA7A-EB44-4606-9BA6-C1C4A022047B}"/>
            </a:ext>
          </a:extLst>
        </xdr:cNvPr>
        <xdr:cNvCxnSpPr/>
      </xdr:nvCxnSpPr>
      <xdr:spPr>
        <a:xfrm>
          <a:off x="6221639" y="6713764"/>
          <a:ext cx="525236" cy="1043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90714</xdr:colOff>
      <xdr:row>31</xdr:row>
      <xdr:rowOff>0</xdr:rowOff>
    </xdr:from>
    <xdr:to>
      <xdr:col>28</xdr:col>
      <xdr:colOff>249464</xdr:colOff>
      <xdr:row>32</xdr:row>
      <xdr:rowOff>170089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519A230-1CFD-4013-A92D-B416F320A3AB}"/>
            </a:ext>
          </a:extLst>
        </xdr:cNvPr>
        <xdr:cNvCxnSpPr/>
      </xdr:nvCxnSpPr>
      <xdr:spPr>
        <a:xfrm flipH="1" flipV="1">
          <a:off x="8708571" y="6021161"/>
          <a:ext cx="1292679" cy="362857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26</xdr:row>
      <xdr:rowOff>113393</xdr:rowOff>
    </xdr:from>
    <xdr:to>
      <xdr:col>22</xdr:col>
      <xdr:colOff>204107</xdr:colOff>
      <xdr:row>29</xdr:row>
      <xdr:rowOff>9525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0E457FD-78A0-46A9-8CDD-0A5A6E9C3CF9}"/>
            </a:ext>
          </a:extLst>
        </xdr:cNvPr>
        <xdr:cNvCxnSpPr/>
      </xdr:nvCxnSpPr>
      <xdr:spPr>
        <a:xfrm flipV="1">
          <a:off x="8207375" y="5170714"/>
          <a:ext cx="13607" cy="474436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324304</xdr:colOff>
      <xdr:row>31</xdr:row>
      <xdr:rowOff>85725</xdr:rowOff>
    </xdr:from>
    <xdr:to>
      <xdr:col>13</xdr:col>
      <xdr:colOff>324304</xdr:colOff>
      <xdr:row>32</xdr:row>
      <xdr:rowOff>85725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C83A2CC-3072-4AB4-9C1B-DC3F4BD2C06C}"/>
            </a:ext>
          </a:extLst>
        </xdr:cNvPr>
        <xdr:cNvCxnSpPr/>
      </xdr:nvCxnSpPr>
      <xdr:spPr>
        <a:xfrm flipV="1">
          <a:off x="5653768" y="6106886"/>
          <a:ext cx="0" cy="192768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187779</xdr:colOff>
      <xdr:row>30</xdr:row>
      <xdr:rowOff>102054</xdr:rowOff>
    </xdr:from>
    <xdr:to>
      <xdr:col>17</xdr:col>
      <xdr:colOff>96611</xdr:colOff>
      <xdr:row>30</xdr:row>
      <xdr:rowOff>111579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37B838B-9555-4178-B947-5E418B024788}"/>
            </a:ext>
          </a:extLst>
        </xdr:cNvPr>
        <xdr:cNvCxnSpPr/>
      </xdr:nvCxnSpPr>
      <xdr:spPr>
        <a:xfrm flipH="1" flipV="1">
          <a:off x="6118225" y="5930447"/>
          <a:ext cx="453118" cy="952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22678</xdr:colOff>
      <xdr:row>19</xdr:row>
      <xdr:rowOff>1</xdr:rowOff>
    </xdr:from>
    <xdr:to>
      <xdr:col>21</xdr:col>
      <xdr:colOff>22678</xdr:colOff>
      <xdr:row>20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66EBA41-743A-4A94-B13E-09CA4FC43456}"/>
            </a:ext>
          </a:extLst>
        </xdr:cNvPr>
        <xdr:cNvCxnSpPr/>
      </xdr:nvCxnSpPr>
      <xdr:spPr>
        <a:xfrm flipV="1">
          <a:off x="7767410" y="3707947"/>
          <a:ext cx="0" cy="192767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133350</xdr:colOff>
      <xdr:row>16</xdr:row>
      <xdr:rowOff>4536</xdr:rowOff>
    </xdr:from>
    <xdr:to>
      <xdr:col>19</xdr:col>
      <xdr:colOff>124733</xdr:colOff>
      <xdr:row>16</xdr:row>
      <xdr:rowOff>22678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0A528F9-7A08-44B2-83CF-11C1C1FCCCA4}"/>
            </a:ext>
          </a:extLst>
        </xdr:cNvPr>
        <xdr:cNvCxnSpPr/>
      </xdr:nvCxnSpPr>
      <xdr:spPr>
        <a:xfrm>
          <a:off x="6335939" y="3134179"/>
          <a:ext cx="989240" cy="18142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6</xdr:row>
      <xdr:rowOff>0</xdr:rowOff>
    </xdr:from>
    <xdr:to>
      <xdr:col>13</xdr:col>
      <xdr:colOff>200025</xdr:colOff>
      <xdr:row>6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D4B1A29-8906-45C2-A5BC-9EF0815EB643}"/>
            </a:ext>
          </a:extLst>
        </xdr:cNvPr>
        <xdr:cNvCxnSpPr/>
      </xdr:nvCxnSpPr>
      <xdr:spPr>
        <a:xfrm>
          <a:off x="5381625" y="1143000"/>
          <a:ext cx="161925" cy="0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113393</xdr:colOff>
      <xdr:row>8</xdr:row>
      <xdr:rowOff>56696</xdr:rowOff>
    </xdr:from>
    <xdr:to>
      <xdr:col>16</xdr:col>
      <xdr:colOff>124732</xdr:colOff>
      <xdr:row>10</xdr:row>
      <xdr:rowOff>124732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A0CC3B43-ADB1-42D5-BD03-A214533A16BF}"/>
            </a:ext>
          </a:extLst>
        </xdr:cNvPr>
        <xdr:cNvCxnSpPr/>
      </xdr:nvCxnSpPr>
      <xdr:spPr>
        <a:xfrm flipV="1">
          <a:off x="6315982" y="1644196"/>
          <a:ext cx="11339" cy="453572"/>
        </a:xfrm>
        <a:prstGeom prst="straightConnector1">
          <a:avLst/>
        </a:prstGeom>
        <a:ln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226786</xdr:colOff>
      <xdr:row>4</xdr:row>
      <xdr:rowOff>68036</xdr:rowOff>
    </xdr:from>
    <xdr:to>
      <xdr:col>33</xdr:col>
      <xdr:colOff>263730</xdr:colOff>
      <xdr:row>28</xdr:row>
      <xdr:rowOff>166798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B6D73A98-8316-C673-179C-7A78F4F6601E}"/>
            </a:ext>
          </a:extLst>
        </xdr:cNvPr>
        <xdr:cNvCxnSpPr/>
      </xdr:nvCxnSpPr>
      <xdr:spPr>
        <a:xfrm flipH="1" flipV="1">
          <a:off x="9865179" y="884465"/>
          <a:ext cx="2486230" cy="47251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215081</xdr:colOff>
      <xdr:row>4</xdr:row>
      <xdr:rowOff>153629</xdr:rowOff>
    </xdr:from>
    <xdr:to>
      <xdr:col>4</xdr:col>
      <xdr:colOff>153629</xdr:colOff>
      <xdr:row>29</xdr:row>
      <xdr:rowOff>107541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921D364-365F-9330-0FE2-04F2F26E9B34}"/>
            </a:ext>
          </a:extLst>
        </xdr:cNvPr>
        <xdr:cNvCxnSpPr/>
      </xdr:nvCxnSpPr>
      <xdr:spPr>
        <a:xfrm>
          <a:off x="215081" y="891048"/>
          <a:ext cx="2396613" cy="4562783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34017</xdr:colOff>
      <xdr:row>21</xdr:row>
      <xdr:rowOff>11339</xdr:rowOff>
    </xdr:from>
    <xdr:to>
      <xdr:col>19</xdr:col>
      <xdr:colOff>226786</xdr:colOff>
      <xdr:row>29</xdr:row>
      <xdr:rowOff>102054</xdr:rowOff>
    </xdr:to>
    <xdr:sp macro="" textlink="">
      <xdr:nvSpPr>
        <xdr:cNvPr id="14" name="Freeform: Shape 13">
          <a:extLst>
            <a:ext uri="{FF2B5EF4-FFF2-40B4-BE49-F238E27FC236}">
              <a16:creationId xmlns:a16="http://schemas.microsoft.com/office/drawing/2014/main" id="{1DD3E17A-D2E6-B5EF-500C-E6D861FCF1B5}"/>
            </a:ext>
          </a:extLst>
        </xdr:cNvPr>
        <xdr:cNvSpPr/>
      </xdr:nvSpPr>
      <xdr:spPr>
        <a:xfrm>
          <a:off x="5692321" y="4104821"/>
          <a:ext cx="1734911" cy="1632858"/>
        </a:xfrm>
        <a:custGeom>
          <a:avLst/>
          <a:gdLst>
            <a:gd name="connsiteX0" fmla="*/ 0 w 1734911"/>
            <a:gd name="connsiteY0" fmla="*/ 1632858 h 1632858"/>
            <a:gd name="connsiteX1" fmla="*/ 22679 w 1734911"/>
            <a:gd name="connsiteY1" fmla="*/ 1576161 h 1632858"/>
            <a:gd name="connsiteX2" fmla="*/ 56697 w 1734911"/>
            <a:gd name="connsiteY2" fmla="*/ 1564822 h 1632858"/>
            <a:gd name="connsiteX3" fmla="*/ 249465 w 1734911"/>
            <a:gd name="connsiteY3" fmla="*/ 1451429 h 1632858"/>
            <a:gd name="connsiteX4" fmla="*/ 408215 w 1734911"/>
            <a:gd name="connsiteY4" fmla="*/ 1270000 h 1632858"/>
            <a:gd name="connsiteX5" fmla="*/ 532947 w 1734911"/>
            <a:gd name="connsiteY5" fmla="*/ 1099911 h 1632858"/>
            <a:gd name="connsiteX6" fmla="*/ 635000 w 1734911"/>
            <a:gd name="connsiteY6" fmla="*/ 907143 h 1632858"/>
            <a:gd name="connsiteX7" fmla="*/ 759733 w 1734911"/>
            <a:gd name="connsiteY7" fmla="*/ 680358 h 1632858"/>
            <a:gd name="connsiteX8" fmla="*/ 805090 w 1734911"/>
            <a:gd name="connsiteY8" fmla="*/ 612322 h 1632858"/>
            <a:gd name="connsiteX9" fmla="*/ 907143 w 1734911"/>
            <a:gd name="connsiteY9" fmla="*/ 430893 h 1632858"/>
            <a:gd name="connsiteX10" fmla="*/ 941161 w 1734911"/>
            <a:gd name="connsiteY10" fmla="*/ 385536 h 1632858"/>
            <a:gd name="connsiteX11" fmla="*/ 975179 w 1734911"/>
            <a:gd name="connsiteY11" fmla="*/ 317500 h 1632858"/>
            <a:gd name="connsiteX12" fmla="*/ 1065893 w 1734911"/>
            <a:gd name="connsiteY12" fmla="*/ 238125 h 1632858"/>
            <a:gd name="connsiteX13" fmla="*/ 1099911 w 1734911"/>
            <a:gd name="connsiteY13" fmla="*/ 226786 h 1632858"/>
            <a:gd name="connsiteX14" fmla="*/ 1145268 w 1734911"/>
            <a:gd name="connsiteY14" fmla="*/ 204108 h 1632858"/>
            <a:gd name="connsiteX15" fmla="*/ 1417411 w 1734911"/>
            <a:gd name="connsiteY15" fmla="*/ 181429 h 1632858"/>
            <a:gd name="connsiteX16" fmla="*/ 1462768 w 1734911"/>
            <a:gd name="connsiteY16" fmla="*/ 170090 h 1632858"/>
            <a:gd name="connsiteX17" fmla="*/ 1576161 w 1734911"/>
            <a:gd name="connsiteY17" fmla="*/ 147411 h 1632858"/>
            <a:gd name="connsiteX18" fmla="*/ 1666875 w 1734911"/>
            <a:gd name="connsiteY18" fmla="*/ 102054 h 1632858"/>
            <a:gd name="connsiteX19" fmla="*/ 1700893 w 1734911"/>
            <a:gd name="connsiteY19" fmla="*/ 68036 h 1632858"/>
            <a:gd name="connsiteX20" fmla="*/ 1734911 w 1734911"/>
            <a:gd name="connsiteY20" fmla="*/ 0 h 163285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734911" h="1632858">
              <a:moveTo>
                <a:pt x="0" y="1632858"/>
              </a:moveTo>
              <a:cubicBezTo>
                <a:pt x="7560" y="1613959"/>
                <a:pt x="9648" y="1591798"/>
                <a:pt x="22679" y="1576161"/>
              </a:cubicBezTo>
              <a:cubicBezTo>
                <a:pt x="30331" y="1566979"/>
                <a:pt x="46006" y="1570167"/>
                <a:pt x="56697" y="1564822"/>
              </a:cubicBezTo>
              <a:cubicBezTo>
                <a:pt x="75748" y="1555296"/>
                <a:pt x="230368" y="1469658"/>
                <a:pt x="249465" y="1451429"/>
              </a:cubicBezTo>
              <a:cubicBezTo>
                <a:pt x="307593" y="1395943"/>
                <a:pt x="360694" y="1334802"/>
                <a:pt x="408215" y="1270000"/>
              </a:cubicBezTo>
              <a:cubicBezTo>
                <a:pt x="449792" y="1213304"/>
                <a:pt x="504392" y="1164159"/>
                <a:pt x="532947" y="1099911"/>
              </a:cubicBezTo>
              <a:cubicBezTo>
                <a:pt x="616717" y="911428"/>
                <a:pt x="535651" y="1081003"/>
                <a:pt x="635000" y="907143"/>
              </a:cubicBezTo>
              <a:cubicBezTo>
                <a:pt x="677804" y="832236"/>
                <a:pt x="711877" y="752143"/>
                <a:pt x="759733" y="680358"/>
              </a:cubicBezTo>
              <a:cubicBezTo>
                <a:pt x="774852" y="657679"/>
                <a:pt x="791224" y="635788"/>
                <a:pt x="805090" y="612322"/>
              </a:cubicBezTo>
              <a:cubicBezTo>
                <a:pt x="840389" y="552585"/>
                <a:pt x="865510" y="486403"/>
                <a:pt x="907143" y="430893"/>
              </a:cubicBezTo>
              <a:cubicBezTo>
                <a:pt x="918482" y="415774"/>
                <a:pt x="931438" y="401742"/>
                <a:pt x="941161" y="385536"/>
              </a:cubicBezTo>
              <a:cubicBezTo>
                <a:pt x="954206" y="363794"/>
                <a:pt x="961114" y="338597"/>
                <a:pt x="975179" y="317500"/>
              </a:cubicBezTo>
              <a:cubicBezTo>
                <a:pt x="987918" y="298392"/>
                <a:pt x="1054620" y="245171"/>
                <a:pt x="1065893" y="238125"/>
              </a:cubicBezTo>
              <a:cubicBezTo>
                <a:pt x="1076029" y="231790"/>
                <a:pt x="1088925" y="231494"/>
                <a:pt x="1099911" y="226786"/>
              </a:cubicBezTo>
              <a:cubicBezTo>
                <a:pt x="1115448" y="220128"/>
                <a:pt x="1129077" y="208965"/>
                <a:pt x="1145268" y="204108"/>
              </a:cubicBezTo>
              <a:cubicBezTo>
                <a:pt x="1206751" y="185663"/>
                <a:pt x="1408972" y="181898"/>
                <a:pt x="1417411" y="181429"/>
              </a:cubicBezTo>
              <a:cubicBezTo>
                <a:pt x="1432530" y="177649"/>
                <a:pt x="1447530" y="173355"/>
                <a:pt x="1462768" y="170090"/>
              </a:cubicBezTo>
              <a:cubicBezTo>
                <a:pt x="1500459" y="162013"/>
                <a:pt x="1538916" y="157343"/>
                <a:pt x="1576161" y="147411"/>
              </a:cubicBezTo>
              <a:cubicBezTo>
                <a:pt x="1606815" y="139237"/>
                <a:pt x="1641830" y="122925"/>
                <a:pt x="1666875" y="102054"/>
              </a:cubicBezTo>
              <a:cubicBezTo>
                <a:pt x="1679194" y="91788"/>
                <a:pt x="1691572" y="81085"/>
                <a:pt x="1700893" y="68036"/>
              </a:cubicBezTo>
              <a:cubicBezTo>
                <a:pt x="1700899" y="68028"/>
                <a:pt x="1729239" y="11344"/>
                <a:pt x="1734911" y="0"/>
              </a:cubicBezTo>
            </a:path>
          </a:pathLst>
        </a:cu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136071</xdr:colOff>
      <xdr:row>20</xdr:row>
      <xdr:rowOff>102053</xdr:rowOff>
    </xdr:from>
    <xdr:to>
      <xdr:col>18</xdr:col>
      <xdr:colOff>158750</xdr:colOff>
      <xdr:row>20</xdr:row>
      <xdr:rowOff>102054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9BB97105-8356-4AF3-9EEE-4EBFEA79E9C4}"/>
            </a:ext>
          </a:extLst>
        </xdr:cNvPr>
        <xdr:cNvCxnSpPr/>
      </xdr:nvCxnSpPr>
      <xdr:spPr>
        <a:xfrm flipH="1" flipV="1">
          <a:off x="5136696" y="4002767"/>
          <a:ext cx="1836965" cy="1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</xdr:row>
      <xdr:rowOff>68036</xdr:rowOff>
    </xdr:from>
    <xdr:to>
      <xdr:col>10</xdr:col>
      <xdr:colOff>0</xdr:colOff>
      <xdr:row>22</xdr:row>
      <xdr:rowOff>68036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DDB8B78-3748-4389-88E0-0F673E048D97}"/>
            </a:ext>
          </a:extLst>
        </xdr:cNvPr>
        <xdr:cNvCxnSpPr/>
      </xdr:nvCxnSpPr>
      <xdr:spPr>
        <a:xfrm flipV="1">
          <a:off x="4422321" y="4161518"/>
          <a:ext cx="0" cy="192768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215449</xdr:colOff>
      <xdr:row>12</xdr:row>
      <xdr:rowOff>45358</xdr:rowOff>
    </xdr:from>
    <xdr:to>
      <xdr:col>14</xdr:col>
      <xdr:colOff>138660</xdr:colOff>
      <xdr:row>19</xdr:row>
      <xdr:rowOff>147411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CC9F60D0-AD23-A578-F128-655494D1D0BC}"/>
            </a:ext>
          </a:extLst>
        </xdr:cNvPr>
        <xdr:cNvSpPr/>
      </xdr:nvSpPr>
      <xdr:spPr>
        <a:xfrm>
          <a:off x="4365628" y="2403929"/>
          <a:ext cx="1431336" cy="1451428"/>
        </a:xfrm>
        <a:custGeom>
          <a:avLst/>
          <a:gdLst>
            <a:gd name="connsiteX0" fmla="*/ 0 w 1431336"/>
            <a:gd name="connsiteY0" fmla="*/ 1451428 h 1451428"/>
            <a:gd name="connsiteX1" fmla="*/ 11339 w 1431336"/>
            <a:gd name="connsiteY1" fmla="*/ 1394732 h 1451428"/>
            <a:gd name="connsiteX2" fmla="*/ 45357 w 1431336"/>
            <a:gd name="connsiteY2" fmla="*/ 1372053 h 1451428"/>
            <a:gd name="connsiteX3" fmla="*/ 90714 w 1431336"/>
            <a:gd name="connsiteY3" fmla="*/ 1338035 h 1451428"/>
            <a:gd name="connsiteX4" fmla="*/ 635000 w 1431336"/>
            <a:gd name="connsiteY4" fmla="*/ 1304017 h 1451428"/>
            <a:gd name="connsiteX5" fmla="*/ 963839 w 1431336"/>
            <a:gd name="connsiteY5" fmla="*/ 1270000 h 1451428"/>
            <a:gd name="connsiteX6" fmla="*/ 1009196 w 1431336"/>
            <a:gd name="connsiteY6" fmla="*/ 1235982 h 1451428"/>
            <a:gd name="connsiteX7" fmla="*/ 1304018 w 1431336"/>
            <a:gd name="connsiteY7" fmla="*/ 839107 h 1451428"/>
            <a:gd name="connsiteX8" fmla="*/ 1360714 w 1431336"/>
            <a:gd name="connsiteY8" fmla="*/ 737053 h 1451428"/>
            <a:gd name="connsiteX9" fmla="*/ 1417411 w 1431336"/>
            <a:gd name="connsiteY9" fmla="*/ 521607 h 1451428"/>
            <a:gd name="connsiteX10" fmla="*/ 1428750 w 1431336"/>
            <a:gd name="connsiteY10" fmla="*/ 0 h 145142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431336" h="1451428">
              <a:moveTo>
                <a:pt x="0" y="1451428"/>
              </a:moveTo>
              <a:cubicBezTo>
                <a:pt x="3780" y="1432529"/>
                <a:pt x="1777" y="1411466"/>
                <a:pt x="11339" y="1394732"/>
              </a:cubicBezTo>
              <a:cubicBezTo>
                <a:pt x="18100" y="1382899"/>
                <a:pt x="34267" y="1379974"/>
                <a:pt x="45357" y="1372053"/>
              </a:cubicBezTo>
              <a:cubicBezTo>
                <a:pt x="60736" y="1361068"/>
                <a:pt x="71940" y="1340201"/>
                <a:pt x="90714" y="1338035"/>
              </a:cubicBezTo>
              <a:cubicBezTo>
                <a:pt x="271299" y="1317198"/>
                <a:pt x="453693" y="1317155"/>
                <a:pt x="635000" y="1304017"/>
              </a:cubicBezTo>
              <a:cubicBezTo>
                <a:pt x="787088" y="1292996"/>
                <a:pt x="838483" y="1285669"/>
                <a:pt x="963839" y="1270000"/>
              </a:cubicBezTo>
              <a:cubicBezTo>
                <a:pt x="978958" y="1258661"/>
                <a:pt x="995380" y="1248877"/>
                <a:pt x="1009196" y="1235982"/>
              </a:cubicBezTo>
              <a:cubicBezTo>
                <a:pt x="1168627" y="1087179"/>
                <a:pt x="1177253" y="1067286"/>
                <a:pt x="1304018" y="839107"/>
              </a:cubicBezTo>
              <a:cubicBezTo>
                <a:pt x="1322917" y="805089"/>
                <a:pt x="1344909" y="772614"/>
                <a:pt x="1360714" y="737053"/>
              </a:cubicBezTo>
              <a:cubicBezTo>
                <a:pt x="1394320" y="661440"/>
                <a:pt x="1401246" y="602429"/>
                <a:pt x="1417411" y="521607"/>
              </a:cubicBezTo>
              <a:cubicBezTo>
                <a:pt x="1439422" y="257467"/>
                <a:pt x="1428750" y="431050"/>
                <a:pt x="1428750" y="0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A94B-EB58-4A03-947E-F1CCC09A674B}">
  <dimension ref="A1:AD42"/>
  <sheetViews>
    <sheetView tabSelected="1" topLeftCell="A15" zoomScale="84" zoomScaleNormal="84" workbookViewId="0">
      <selection activeCell="O12" sqref="O12"/>
    </sheetView>
  </sheetViews>
  <sheetFormatPr defaultRowHeight="15" x14ac:dyDescent="0.25"/>
  <cols>
    <col min="6" max="11" width="4.140625" customWidth="1"/>
    <col min="12" max="12" width="4.5703125" customWidth="1"/>
    <col min="13" max="13" width="5" customWidth="1"/>
    <col min="14" max="14" width="4.85546875" customWidth="1"/>
    <col min="15" max="17" width="4.140625" customWidth="1"/>
    <col min="18" max="18" width="5.140625" customWidth="1"/>
    <col min="19" max="19" width="5.7109375" customWidth="1"/>
    <col min="20" max="22" width="4.140625" customWidth="1"/>
    <col min="23" max="23" width="4.5703125" customWidth="1"/>
    <col min="24" max="25" width="4.42578125" customWidth="1"/>
    <col min="26" max="26" width="4.7109375" customWidth="1"/>
    <col min="27" max="28" width="3.85546875" customWidth="1"/>
    <col min="29" max="30" width="4.5703125" customWidth="1"/>
  </cols>
  <sheetData>
    <row r="1" spans="1:29" ht="18.75" x14ac:dyDescent="0.3">
      <c r="I1" s="14" t="s">
        <v>29</v>
      </c>
    </row>
    <row r="4" spans="1:29" x14ac:dyDescent="0.25">
      <c r="A4" t="s">
        <v>30</v>
      </c>
      <c r="M4" t="s">
        <v>32</v>
      </c>
      <c r="AC4" t="s">
        <v>31</v>
      </c>
    </row>
    <row r="5" spans="1:29" x14ac:dyDescent="0.25">
      <c r="I5" t="s">
        <v>33</v>
      </c>
      <c r="M5" s="1">
        <v>2</v>
      </c>
      <c r="O5" s="2" cm="1">
        <f t="array" ref="O5:R7">MMULT(M5:M7,O8:R8)</f>
        <v>0</v>
      </c>
      <c r="P5" s="2">
        <v>-4</v>
      </c>
      <c r="Q5" s="2">
        <v>4</v>
      </c>
      <c r="R5" s="2">
        <v>-2</v>
      </c>
      <c r="S5" s="8" t="s">
        <v>28</v>
      </c>
    </row>
    <row r="6" spans="1:29" x14ac:dyDescent="0.25">
      <c r="M6" s="1">
        <v>1</v>
      </c>
      <c r="O6" s="2">
        <v>0</v>
      </c>
      <c r="P6" s="2">
        <v>-2</v>
      </c>
      <c r="Q6" s="2">
        <v>2</v>
      </c>
      <c r="R6" s="2">
        <v>-1</v>
      </c>
    </row>
    <row r="7" spans="1:29" x14ac:dyDescent="0.25">
      <c r="M7" s="1">
        <v>3</v>
      </c>
      <c r="O7" s="2">
        <v>0</v>
      </c>
      <c r="P7" s="2">
        <v>-6</v>
      </c>
      <c r="Q7" s="2">
        <v>6</v>
      </c>
      <c r="R7" s="2">
        <v>-3</v>
      </c>
    </row>
    <row r="8" spans="1:29" x14ac:dyDescent="0.25">
      <c r="M8" s="15">
        <v>1</v>
      </c>
      <c r="O8" s="12">
        <f>O11+O12</f>
        <v>0</v>
      </c>
      <c r="P8" s="12">
        <f>P11+P12</f>
        <v>-2</v>
      </c>
      <c r="Q8" s="12">
        <f>Q11+Q12</f>
        <v>2</v>
      </c>
      <c r="R8" s="12">
        <f>R11+R12</f>
        <v>-1</v>
      </c>
      <c r="S8" s="9" t="s">
        <v>27</v>
      </c>
      <c r="T8" s="13"/>
      <c r="U8" s="13"/>
      <c r="V8" s="13"/>
      <c r="W8" s="13"/>
    </row>
    <row r="12" spans="1:29" x14ac:dyDescent="0.25">
      <c r="O12" s="11">
        <f>IF(M15&gt;0,I21,0)</f>
        <v>0</v>
      </c>
      <c r="P12" s="11">
        <f>IF(M16&gt;0,J21,0)</f>
        <v>-2</v>
      </c>
      <c r="Q12" s="11">
        <f>IF(M17&gt;0,K21,0)</f>
        <v>2</v>
      </c>
      <c r="R12" s="11">
        <f>IF(M18&gt;0,L21,0)</f>
        <v>-1</v>
      </c>
      <c r="S12" s="10" t="s">
        <v>38</v>
      </c>
    </row>
    <row r="14" spans="1:29" x14ac:dyDescent="0.25">
      <c r="E14" t="s">
        <v>14</v>
      </c>
      <c r="F14" t="s">
        <v>0</v>
      </c>
      <c r="J14" t="s">
        <v>1</v>
      </c>
      <c r="M14" t="s">
        <v>34</v>
      </c>
      <c r="N14" t="s">
        <v>2</v>
      </c>
      <c r="P14" s="17" t="s">
        <v>3</v>
      </c>
    </row>
    <row r="15" spans="1:29" x14ac:dyDescent="0.25">
      <c r="G15" s="5">
        <v>1</v>
      </c>
      <c r="H15" s="5">
        <v>-1</v>
      </c>
      <c r="I15" s="5">
        <v>1</v>
      </c>
      <c r="J15" s="6">
        <v>-5</v>
      </c>
      <c r="M15" s="4" cm="1">
        <f t="array" ref="M15:M18">MMULT(G15:J18,M5:M8)</f>
        <v>-1</v>
      </c>
      <c r="P15" s="4">
        <f>IF(M15&lt;0,0,M15)</f>
        <v>0</v>
      </c>
      <c r="U15" s="2" cm="1">
        <f t="array" ref="U15:V18">MMULT(P15:P18,U19:V19)</f>
        <v>0</v>
      </c>
      <c r="V15" s="2">
        <v>0</v>
      </c>
      <c r="X15" s="8" t="s">
        <v>25</v>
      </c>
    </row>
    <row r="16" spans="1:29" x14ac:dyDescent="0.25">
      <c r="G16" s="5">
        <v>1</v>
      </c>
      <c r="H16" s="5">
        <v>1</v>
      </c>
      <c r="I16" s="5">
        <v>0</v>
      </c>
      <c r="J16" s="6">
        <v>0</v>
      </c>
      <c r="M16" s="4">
        <v>3</v>
      </c>
      <c r="P16" s="4">
        <f t="shared" ref="P16:P17" si="0">IF(M16&lt;0,0,M16)</f>
        <v>3</v>
      </c>
      <c r="U16" s="2">
        <v>3</v>
      </c>
      <c r="V16" s="2">
        <v>-3</v>
      </c>
    </row>
    <row r="17" spans="5:30" x14ac:dyDescent="0.25">
      <c r="G17" s="5">
        <v>0</v>
      </c>
      <c r="H17" s="5">
        <v>1</v>
      </c>
      <c r="I17" s="5">
        <v>1</v>
      </c>
      <c r="J17" s="6">
        <v>1</v>
      </c>
      <c r="M17" s="4">
        <v>5</v>
      </c>
      <c r="P17" s="4">
        <f t="shared" si="0"/>
        <v>5</v>
      </c>
      <c r="U17" s="2">
        <v>5</v>
      </c>
      <c r="V17" s="2">
        <v>-5</v>
      </c>
    </row>
    <row r="18" spans="5:30" x14ac:dyDescent="0.25">
      <c r="G18" s="5">
        <v>1</v>
      </c>
      <c r="H18" s="5">
        <v>0</v>
      </c>
      <c r="I18" s="5">
        <v>1</v>
      </c>
      <c r="J18" s="6">
        <v>-2</v>
      </c>
      <c r="M18" s="4">
        <v>3</v>
      </c>
      <c r="P18" s="4">
        <f t="shared" ref="P18" si="1">IF(M18&lt;0,0,M18)</f>
        <v>3</v>
      </c>
      <c r="U18" s="2">
        <v>3</v>
      </c>
      <c r="V18" s="2">
        <v>-3</v>
      </c>
    </row>
    <row r="19" spans="5:30" x14ac:dyDescent="0.25">
      <c r="P19">
        <v>1</v>
      </c>
      <c r="U19" s="11">
        <f>U21</f>
        <v>1</v>
      </c>
      <c r="V19" s="11">
        <f>V21</f>
        <v>-1</v>
      </c>
      <c r="X19" s="20" t="s">
        <v>24</v>
      </c>
      <c r="Y19" s="21"/>
      <c r="Z19" s="21"/>
      <c r="AA19" s="21"/>
      <c r="AB19" s="21"/>
    </row>
    <row r="21" spans="5:30" x14ac:dyDescent="0.25">
      <c r="E21" s="17" t="s">
        <v>26</v>
      </c>
      <c r="I21" s="18" cm="1">
        <f t="array" ref="I21:L21">MMULT(U21:V21,I24:L25)</f>
        <v>1</v>
      </c>
      <c r="J21" s="18">
        <v>-2</v>
      </c>
      <c r="K21" s="18">
        <v>2</v>
      </c>
      <c r="L21" s="18">
        <v>-1</v>
      </c>
      <c r="U21" s="11">
        <f>IF(P24&gt;0,N31,0)</f>
        <v>1</v>
      </c>
      <c r="V21" s="11">
        <f>IF(P25&gt;0,O31,0)</f>
        <v>-1</v>
      </c>
      <c r="X21" s="10" t="s">
        <v>39</v>
      </c>
    </row>
    <row r="23" spans="5:30" x14ac:dyDescent="0.25">
      <c r="E23" t="s">
        <v>15</v>
      </c>
      <c r="I23" t="s">
        <v>4</v>
      </c>
      <c r="M23" t="s">
        <v>5</v>
      </c>
      <c r="P23" t="s">
        <v>6</v>
      </c>
      <c r="Q23" t="s">
        <v>2</v>
      </c>
      <c r="S23" s="17" t="s">
        <v>7</v>
      </c>
    </row>
    <row r="24" spans="5:30" x14ac:dyDescent="0.25">
      <c r="I24" s="5">
        <v>1</v>
      </c>
      <c r="J24" s="5">
        <v>-1</v>
      </c>
      <c r="K24" s="5">
        <v>1</v>
      </c>
      <c r="L24" s="5">
        <v>0</v>
      </c>
      <c r="M24" s="6">
        <v>0</v>
      </c>
      <c r="P24" s="4" cm="1">
        <f t="array" ref="P24:P25">MMULT(I24:M25,P15:P19)</f>
        <v>2</v>
      </c>
      <c r="S24" s="4">
        <f>IF(P24&lt;0,0,P24)</f>
        <v>2</v>
      </c>
      <c r="V24" s="2" cm="1">
        <f t="array" ref="V24:X25">MMULT(S24:S25,V26:X26)</f>
        <v>3.5336844028096101E-2</v>
      </c>
      <c r="W24" s="2">
        <v>-1.9646631559719039</v>
      </c>
      <c r="X24" s="2">
        <v>1.9293263119438078</v>
      </c>
      <c r="Z24" s="8" t="s">
        <v>22</v>
      </c>
    </row>
    <row r="25" spans="5:30" x14ac:dyDescent="0.25">
      <c r="I25" s="5">
        <v>0</v>
      </c>
      <c r="J25" s="5">
        <v>1</v>
      </c>
      <c r="K25" s="5">
        <v>-1</v>
      </c>
      <c r="L25" s="5">
        <v>1</v>
      </c>
      <c r="M25" s="6">
        <v>3</v>
      </c>
      <c r="P25" s="4">
        <v>4</v>
      </c>
      <c r="S25" s="4">
        <f t="shared" ref="S25" si="2">IF(P25&lt;0,0,P25)</f>
        <v>4</v>
      </c>
      <c r="V25" s="2">
        <v>7.0673688056192202E-2</v>
      </c>
      <c r="W25" s="2">
        <v>-3.9293263119438078</v>
      </c>
      <c r="X25" s="2">
        <v>3.8586526238876155</v>
      </c>
    </row>
    <row r="26" spans="5:30" x14ac:dyDescent="0.25">
      <c r="S26">
        <v>1</v>
      </c>
      <c r="V26" s="19">
        <f>V31</f>
        <v>1.7668422014048051E-2</v>
      </c>
      <c r="W26" s="19">
        <f t="shared" ref="W26:X26" si="3">W31</f>
        <v>-0.98233157798595194</v>
      </c>
      <c r="X26" s="19">
        <f t="shared" si="3"/>
        <v>0.96466315597190389</v>
      </c>
      <c r="Z26" s="9" t="s">
        <v>21</v>
      </c>
      <c r="AA26" s="9"/>
      <c r="AB26" s="9"/>
      <c r="AC26" s="9"/>
      <c r="AD26" s="9"/>
    </row>
    <row r="30" spans="5:30" x14ac:dyDescent="0.25">
      <c r="Z30" s="8"/>
      <c r="AA30" s="8"/>
      <c r="AB30" s="8"/>
    </row>
    <row r="31" spans="5:30" x14ac:dyDescent="0.25">
      <c r="G31" s="8"/>
      <c r="I31" s="17" t="s">
        <v>23</v>
      </c>
      <c r="J31" s="17"/>
      <c r="K31" s="17"/>
      <c r="L31" s="17"/>
      <c r="M31" s="17"/>
      <c r="N31" s="18" cm="1">
        <f t="array" ref="N31:O31">MMULT(V31:X31,N34:O36)</f>
        <v>1</v>
      </c>
      <c r="O31" s="18">
        <v>-1</v>
      </c>
      <c r="V31" s="11" cm="1">
        <f t="array" ref="V31:X31">TRANSPOSE(AD34:AD36)</f>
        <v>1.7668422014048051E-2</v>
      </c>
      <c r="W31" s="11">
        <v>-0.98233157798595194</v>
      </c>
      <c r="X31" s="11">
        <v>0.96466315597190389</v>
      </c>
      <c r="Z31" s="8" t="s">
        <v>19</v>
      </c>
      <c r="AA31" s="8"/>
      <c r="AB31" s="8" t="s">
        <v>20</v>
      </c>
    </row>
    <row r="33" spans="5:30" x14ac:dyDescent="0.25">
      <c r="E33" t="s">
        <v>16</v>
      </c>
      <c r="N33" t="s">
        <v>8</v>
      </c>
      <c r="P33" t="s">
        <v>9</v>
      </c>
      <c r="S33" t="s">
        <v>10</v>
      </c>
      <c r="T33" t="s">
        <v>11</v>
      </c>
      <c r="V33" s="17" t="s">
        <v>37</v>
      </c>
    </row>
    <row r="34" spans="5:30" x14ac:dyDescent="0.25">
      <c r="N34" s="5">
        <v>2</v>
      </c>
      <c r="O34" s="5">
        <v>0</v>
      </c>
      <c r="P34" s="6">
        <v>-1</v>
      </c>
      <c r="S34" s="4" cm="1">
        <f t="array" ref="S34:S36">MMULT(N34:P36,S24:S26)</f>
        <v>3</v>
      </c>
      <c r="V34" s="4">
        <f>S39/$S$42</f>
        <v>1.7668422014048051E-2</v>
      </c>
      <c r="Z34" s="3">
        <v>0</v>
      </c>
      <c r="AD34" s="2">
        <f>V34-Z34</f>
        <v>1.7668422014048051E-2</v>
      </c>
    </row>
    <row r="35" spans="5:30" x14ac:dyDescent="0.25">
      <c r="N35" s="5">
        <v>0</v>
      </c>
      <c r="O35" s="5">
        <v>2</v>
      </c>
      <c r="P35" s="6">
        <v>-5</v>
      </c>
      <c r="S35" s="4">
        <v>3</v>
      </c>
      <c r="V35" s="4">
        <f>S40/$S$42</f>
        <v>1.7668422014048051E-2</v>
      </c>
      <c r="X35" t="s">
        <v>36</v>
      </c>
      <c r="Z35" s="3">
        <v>1</v>
      </c>
      <c r="AA35" s="16" t="s">
        <v>35</v>
      </c>
      <c r="AD35" s="2">
        <f t="shared" ref="AD35:AD36" si="4">V35-Z35</f>
        <v>-0.98233157798595194</v>
      </c>
    </row>
    <row r="36" spans="5:30" x14ac:dyDescent="0.25">
      <c r="N36" s="5">
        <v>1</v>
      </c>
      <c r="O36" s="5">
        <v>1</v>
      </c>
      <c r="P36" s="6">
        <v>1</v>
      </c>
      <c r="S36" s="4">
        <v>7</v>
      </c>
      <c r="V36" s="4">
        <f>S41/$S$42</f>
        <v>0.96466315597190389</v>
      </c>
      <c r="Z36" s="3">
        <v>0</v>
      </c>
      <c r="AD36" s="2">
        <f t="shared" si="4"/>
        <v>0.96466315597190389</v>
      </c>
    </row>
    <row r="37" spans="5:30" x14ac:dyDescent="0.25">
      <c r="U37" t="s">
        <v>12</v>
      </c>
      <c r="Y37" t="s">
        <v>13</v>
      </c>
    </row>
    <row r="38" spans="5:30" x14ac:dyDescent="0.25">
      <c r="AC38" t="s">
        <v>18</v>
      </c>
    </row>
    <row r="39" spans="5:30" x14ac:dyDescent="0.25">
      <c r="S39">
        <f>EXP(S34)</f>
        <v>20.085536923187668</v>
      </c>
      <c r="U39" t="s">
        <v>17</v>
      </c>
    </row>
    <row r="40" spans="5:30" x14ac:dyDescent="0.25">
      <c r="S40">
        <f>EXP(S35)</f>
        <v>20.085536923187668</v>
      </c>
    </row>
    <row r="41" spans="5:30" x14ac:dyDescent="0.25">
      <c r="R41" s="7"/>
      <c r="S41" s="7">
        <f>EXP(S36)</f>
        <v>1096.6331584284585</v>
      </c>
    </row>
    <row r="42" spans="5:30" x14ac:dyDescent="0.25">
      <c r="S42">
        <f>SUM(S39:S41)</f>
        <v>1136.8042322748338</v>
      </c>
    </row>
  </sheetData>
  <phoneticPr fontId="4" type="noConversion"/>
  <pageMargins left="0.7" right="0.7" top="0.75" bottom="0.75" header="0.3" footer="0.3"/>
  <pageSetup paperSize="9" orientation="portrait" r:id="rId1"/>
  <headerFooter>
    <oddFooter>&amp;C_x000D_&amp;1#&amp;"Calibri"&amp;10&amp;K000000 SLB-Private</oddFooter>
  </headerFooter>
  <drawing r:id="rId2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cp:lastPrinted>2024-09-28T12:53:39Z</cp:lastPrinted>
  <dcterms:created xsi:type="dcterms:W3CDTF">2024-09-28T10:21:55Z</dcterms:created>
  <dcterms:modified xsi:type="dcterms:W3CDTF">2024-09-28T13:23:40Z</dcterms:modified>
</cp:coreProperties>
</file>