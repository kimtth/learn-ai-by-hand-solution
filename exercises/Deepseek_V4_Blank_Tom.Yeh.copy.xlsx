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slb001-my.sharepoint.com/personal/htaguado_slb_com/Documents/Documents/Technical 2024/"/>
    </mc:Choice>
  </mc:AlternateContent>
  <xr:revisionPtr revIDLastSave="1028" documentId="8_{84ED5C3D-139E-47FC-8F7B-129079A0456B}" xr6:coauthVersionLast="47" xr6:coauthVersionMax="47" xr10:uidLastSave="{6D8ADAE9-B30A-4449-A230-6B0502E1680F}"/>
  <bookViews>
    <workbookView xWindow="-120" yWindow="-120" windowWidth="20730" windowHeight="11310" xr2:uid="{507D3CD0-92AA-E84E-A75B-54161F524C63}"/>
  </bookViews>
  <sheets>
    <sheet name="blank" sheetId="18" r:id="rId1"/>
    <sheet name="random" sheetId="9" r:id="rId2"/>
    <sheet name="LICENSE" sheetId="20" r:id="rId3"/>
  </sheets>
  <externalReferences>
    <externalReference r:id="rId4"/>
  </externalReferences>
  <definedNames>
    <definedName name="_alpha1">'[1]ReLU vs. LeakyReLU'!$H$5</definedName>
    <definedName name="_alpha2">'[1]ReLU vs. LeakyReLU'!#REF!</definedName>
    <definedName name="RANDLINEAR" localSheetId="2">_xlfn.LAMBDA(_xlpm.rows,_xlpm.columns,_xlpm.has_biases,  _xlfn.LET(_xlpm.weights, _xlfn.MAKEARRAY(_xlpm.rows,_xlpm.columns,                                _xlfn.LAMBDA(_xlpm.i,_xlpm.j, _xlfn.LET(_xlpm.s, RAND(), IF(_xlpm.s&gt;0.6,1, IF(_xlpm.s&gt;0.5, -1, 0))))),         _xlpm.biases, _xlfn.MAKEARRAY(_xlpm.rows,1, _xlfn.LAMBDA(_xlpm.i,_xlpm.j, RANDBETWEEN(-3,3))),  IF(_xlpm.has_biases, _xlfn.HSTACK(_xlpm.weights, _xlpm.biases), _xlpm.weights)))</definedName>
    <definedName name="RANDLINEAR">_xlfn.LAMBDA(_xlpm.rows,_xlpm.columns,_xlpm.has_biases,  _xlfn.LET(_xlpm.weights, _xlfn.MAKEARRAY(_xlpm.rows,_xlpm.columns,                                _xlfn.LAMBDA(_xlpm.i,_xlpm.j, _xlfn.LET(_xlpm.s, RAND(), IF(_xlpm.s&gt;0.6,1, IF(_xlpm.s&gt;0.5, -1, 0))))),         _xlpm.biases, _xlfn.MAKEARRAY(_xlpm.rows,1, _xlfn.LAMBDA(_xlpm.i,_xlpm.j, RANDBETWEEN(-3,3))),  IF(_xlpm.has_biases, _xlfn.HSTACK(_xlpm.weights, _xlpm.biases), _xlpm.weights)))</definedName>
    <definedName name="RELU" localSheetId="0">_xlfn.LAMBDA(_xlpm.array, _xlfn.MAP(_xlpm.array,_xlfn.LAMBDA(_xlpm.x, MAX(_xlpm.x,0))))</definedName>
    <definedName name="SOFTMAX" localSheetId="2">_xlfn.LAMBDA(_xlpm.x, _xlfn.LET(_xlpm.s,  SUM(EXP(_xlpm.x)), EXP(_xlpm.x) / _xlpm.s))</definedName>
    <definedName name="SOFTMAX">_xlfn.LAMBDA(_xlpm.x, _xlfn.LET(_xlpm.s,  SUM(EXP(_xlpm.x)), EXP(_xlpm.x) / _xlpm.s))</definedName>
    <definedName name="width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48" i="18" l="1" a="1"/>
  <c r="V148" i="18" s="1"/>
  <c r="V102" i="18" a="1"/>
  <c r="V102" i="18" s="1"/>
  <c r="V97" i="18" a="1"/>
  <c r="V97" i="18" s="1"/>
  <c r="V92" i="18" a="1"/>
  <c r="V92" i="18" s="1"/>
  <c r="AE98" i="18" a="1"/>
  <c r="AE98" i="18" s="1"/>
  <c r="AL90" i="18" a="1"/>
  <c r="AL90" i="18" s="1"/>
  <c r="AU74" i="18" a="1"/>
  <c r="AU74" i="18" s="1"/>
  <c r="AV74" i="18" a="1"/>
  <c r="AV74" i="18"/>
  <c r="AW74" i="18" a="1"/>
  <c r="AW74" i="18" s="1"/>
  <c r="AX74" i="18" a="1"/>
  <c r="AX74" i="18"/>
  <c r="AY74" i="18" a="1"/>
  <c r="AY74" i="18" s="1"/>
  <c r="AT74" i="18" a="1"/>
  <c r="AT74" i="18" s="1"/>
  <c r="AL74" i="18" a="1"/>
  <c r="AL74" i="18" s="1"/>
  <c r="AE74" i="18" a="1"/>
  <c r="AE74" i="18" s="1"/>
  <c r="AL66" i="18" a="1"/>
  <c r="AL66" i="18" s="1"/>
  <c r="AE50" i="18" a="1"/>
  <c r="AE50" i="18" s="1"/>
  <c r="AM42" i="18"/>
  <c r="AN42" i="18"/>
  <c r="AO42" i="18"/>
  <c r="AP42" i="18"/>
  <c r="AQ42" i="18"/>
  <c r="AM43" i="18"/>
  <c r="AN43" i="18"/>
  <c r="AO43" i="18"/>
  <c r="AP43" i="18"/>
  <c r="AQ43" i="18"/>
  <c r="AL43" i="18"/>
  <c r="AL42" i="18"/>
  <c r="V78" i="18" a="1"/>
  <c r="V78" i="18" s="1"/>
  <c r="V73" i="18" a="1"/>
  <c r="V73" i="18" s="1"/>
  <c r="V68" i="18" a="1"/>
  <c r="V68" i="18" s="1"/>
  <c r="L29" i="18"/>
  <c r="N29" i="18"/>
  <c r="P29" i="18"/>
  <c r="R29" i="18"/>
  <c r="T29" i="18"/>
  <c r="P30" i="18"/>
  <c r="L37" i="18"/>
  <c r="N37" i="18"/>
  <c r="P37" i="18"/>
  <c r="R37" i="18"/>
  <c r="T37" i="18"/>
  <c r="P38" i="18"/>
  <c r="AW33" i="18"/>
  <c r="AV33" i="18"/>
  <c r="AW32" i="18"/>
  <c r="AV32" i="18"/>
  <c r="AU33" i="18"/>
  <c r="AT33" i="18"/>
  <c r="AU32" i="18"/>
  <c r="AT32" i="18"/>
  <c r="AS33" i="18"/>
  <c r="AR33" i="18"/>
  <c r="AS32" i="18"/>
  <c r="AR32" i="18"/>
  <c r="AQ33" i="18"/>
  <c r="AP33" i="18"/>
  <c r="AQ32" i="18"/>
  <c r="AP32" i="18"/>
  <c r="AO33" i="18"/>
  <c r="AN33" i="18"/>
  <c r="AO32" i="18"/>
  <c r="AN32" i="18"/>
  <c r="AM32" i="18"/>
  <c r="AL33" i="18"/>
  <c r="AM33" i="18"/>
  <c r="AL32" i="18"/>
  <c r="AW36" i="18"/>
  <c r="AU36" i="18"/>
  <c r="AS36" i="18"/>
  <c r="AQ36" i="18"/>
  <c r="AO36" i="18"/>
  <c r="AM36" i="18"/>
  <c r="AL36" i="18"/>
  <c r="AP35" i="18"/>
  <c r="AP36" i="18" s="1"/>
  <c r="AN35" i="18"/>
  <c r="AN36" i="18" s="1"/>
  <c r="AS29" i="18"/>
  <c r="AW28" i="18"/>
  <c r="AU28" i="18"/>
  <c r="AS28" i="18"/>
  <c r="AQ28" i="18"/>
  <c r="AO28" i="18"/>
  <c r="AR35" i="18" l="1"/>
  <c r="AR36" i="18" l="1"/>
  <c r="AT35" i="18"/>
  <c r="AV35" i="18" l="1"/>
  <c r="AV36" i="18" s="1"/>
  <c r="AT36" i="18"/>
  <c r="Z29" i="18" l="1" a="1"/>
  <c r="Z29" i="18" s="1"/>
  <c r="Y29" i="18" a="1"/>
  <c r="Y29" i="18" s="1"/>
  <c r="Y37" i="18" s="1"/>
  <c r="X29" i="18" a="1"/>
  <c r="X29" i="18" s="1"/>
  <c r="W29" i="18" a="1"/>
  <c r="W29" i="18" s="1"/>
  <c r="V29" i="18" a="1"/>
  <c r="V29" i="18" s="1"/>
  <c r="AA29" i="18" a="1"/>
  <c r="AA29" i="18" s="1"/>
  <c r="V33" i="18" a="1"/>
  <c r="V33" i="18" s="1"/>
  <c r="V25" i="18" a="1"/>
  <c r="V25" i="18" s="1"/>
  <c r="U148" i="18"/>
  <c r="BT185" i="18"/>
  <c r="BC185" i="18"/>
  <c r="AL185" i="18"/>
  <c r="AG98" i="18" a="1"/>
  <c r="AG98" i="18" s="1"/>
  <c r="AG74" i="18" a="1"/>
  <c r="AG74" i="18" s="1"/>
  <c r="V20" i="18" a="1"/>
  <c r="V20" i="18" s="1"/>
  <c r="V49" i="18" s="1" a="1"/>
  <c r="V49" i="18" s="1"/>
  <c r="AG50" i="18" s="1" a="1"/>
  <c r="AG50" i="18" s="1"/>
  <c r="V15" i="18" a="1"/>
  <c r="V15" i="18" s="1"/>
  <c r="V44" i="18" s="1" a="1"/>
  <c r="U185" i="18"/>
  <c r="AQ109" i="18" l="1"/>
  <c r="Y38" i="18"/>
  <c r="X37" i="18"/>
  <c r="AA37" i="18"/>
  <c r="W37" i="18"/>
  <c r="X38" i="18"/>
  <c r="Z38" i="18"/>
  <c r="V38" i="18"/>
  <c r="V37" i="18"/>
  <c r="Z37" i="18"/>
  <c r="AA38" i="18"/>
  <c r="W38" i="18"/>
  <c r="AN82" i="18"/>
  <c r="AP84" i="18"/>
  <c r="AO83" i="18"/>
  <c r="AN85" i="18"/>
  <c r="AN83" i="18"/>
  <c r="AQ84" i="18"/>
  <c r="AQ85" i="18"/>
  <c r="AL84" i="18"/>
  <c r="AO82" i="18"/>
  <c r="AM84" i="18"/>
  <c r="AO85" i="18"/>
  <c r="V54" i="18" a="1"/>
  <c r="AM60" i="18" s="1"/>
  <c r="V44" i="18"/>
  <c r="AL44" i="18" s="1"/>
  <c r="AM46" i="18"/>
  <c r="AO47" i="18"/>
  <c r="AQ44" i="18"/>
  <c r="AN45" i="18"/>
  <c r="AP46" i="18"/>
  <c r="AM44" i="18"/>
  <c r="AO45" i="18"/>
  <c r="AQ46" i="18"/>
  <c r="AN44" i="18"/>
  <c r="AL46" i="18"/>
  <c r="AN47" i="18"/>
  <c r="AP44" i="18"/>
  <c r="AQ108" i="18"/>
  <c r="AN106" i="18"/>
  <c r="AL108" i="18"/>
  <c r="AN109" i="18"/>
  <c r="AN107" i="18"/>
  <c r="AP108" i="18"/>
  <c r="AO107" i="18"/>
  <c r="AO106" i="18"/>
  <c r="AM108" i="18"/>
  <c r="AO109" i="18"/>
  <c r="AP94" i="18"/>
  <c r="AN93" i="18"/>
  <c r="AM92" i="18"/>
  <c r="AQ94" i="18"/>
  <c r="AP92" i="18"/>
  <c r="AL94" i="18"/>
  <c r="AQ92" i="18"/>
  <c r="AM94" i="18"/>
  <c r="AO95" i="18"/>
  <c r="AL93" i="18"/>
  <c r="AP93" i="18"/>
  <c r="AN94" i="18"/>
  <c r="AP95" i="18"/>
  <c r="AP106" i="18"/>
  <c r="AL107" i="18"/>
  <c r="AP107" i="18"/>
  <c r="AN108" i="18"/>
  <c r="AL109" i="18"/>
  <c r="AP109" i="18"/>
  <c r="AO92" i="18"/>
  <c r="AM93" i="18"/>
  <c r="AQ93" i="18"/>
  <c r="AM95" i="18"/>
  <c r="AL106" i="18"/>
  <c r="AM106" i="18"/>
  <c r="AQ106" i="18"/>
  <c r="AM107" i="18"/>
  <c r="AQ107" i="18"/>
  <c r="AO108" i="18"/>
  <c r="AM109" i="18"/>
  <c r="AP70" i="18"/>
  <c r="AM68" i="18"/>
  <c r="AQ68" i="18"/>
  <c r="AM70" i="18"/>
  <c r="AL70" i="18"/>
  <c r="AN71" i="18"/>
  <c r="AP82" i="18"/>
  <c r="AL83" i="18"/>
  <c r="AP83" i="18"/>
  <c r="AN84" i="18"/>
  <c r="AL85" i="18"/>
  <c r="AP85" i="18"/>
  <c r="AN68" i="18"/>
  <c r="AL69" i="18"/>
  <c r="AL71" i="18"/>
  <c r="AP71" i="18"/>
  <c r="AM69" i="18"/>
  <c r="AQ69" i="18"/>
  <c r="AL82" i="18"/>
  <c r="AM82" i="18"/>
  <c r="AQ82" i="18"/>
  <c r="AM83" i="18"/>
  <c r="AQ83" i="18"/>
  <c r="AO84" i="18"/>
  <c r="AM85" i="18"/>
  <c r="AQ47" i="18"/>
  <c r="AM47" i="18"/>
  <c r="AO46" i="18"/>
  <c r="AQ45" i="18"/>
  <c r="AM45" i="18"/>
  <c r="AO44" i="18"/>
  <c r="AP47" i="18"/>
  <c r="AL47" i="18"/>
  <c r="AN46" i="18"/>
  <c r="AP45" i="18"/>
  <c r="AL45" i="18"/>
  <c r="AL50" i="18" l="1" a="1"/>
  <c r="AL50" i="18" s="1"/>
  <c r="AT50" i="18" s="1" a="1"/>
  <c r="AT50" i="18" s="1"/>
  <c r="AU50" i="18" a="1"/>
  <c r="AU50" i="18" s="1"/>
  <c r="AX50" i="18" a="1"/>
  <c r="AX50" i="18" s="1"/>
  <c r="AO60" i="18"/>
  <c r="AL60" i="18"/>
  <c r="AL59" i="18"/>
  <c r="AP61" i="18"/>
  <c r="V54" i="18"/>
  <c r="AL58" i="18" s="1"/>
  <c r="AO58" i="18"/>
  <c r="AM61" i="18"/>
  <c r="AN61" i="18"/>
  <c r="AQ60" i="18"/>
  <c r="AP59" i="18"/>
  <c r="AN59" i="18"/>
  <c r="AM59" i="18"/>
  <c r="AQ61" i="18"/>
  <c r="AM58" i="18"/>
  <c r="AO61" i="18"/>
  <c r="AN60" i="18"/>
  <c r="AP60" i="18"/>
  <c r="AQ59" i="18"/>
  <c r="AP58" i="18"/>
  <c r="AO59" i="18"/>
  <c r="AN58" i="18"/>
  <c r="AL61" i="18"/>
  <c r="AQ58" i="18"/>
  <c r="AL68" i="18"/>
  <c r="AQ71" i="18"/>
  <c r="AM71" i="18"/>
  <c r="AO68" i="18"/>
  <c r="AN70" i="18"/>
  <c r="AP68" i="18"/>
  <c r="AQ70" i="18"/>
  <c r="AN69" i="18"/>
  <c r="AL92" i="18"/>
  <c r="AL98" i="18" s="1" a="1"/>
  <c r="AQ95" i="18"/>
  <c r="AO70" i="18"/>
  <c r="AP69" i="18"/>
  <c r="AO71" i="18"/>
  <c r="AO69" i="18"/>
  <c r="AO94" i="18"/>
  <c r="AL95" i="18"/>
  <c r="AN92" i="18"/>
  <c r="AN95" i="18"/>
  <c r="AO93" i="18"/>
  <c r="BG53" i="18"/>
  <c r="AL98" i="18" l="1"/>
  <c r="AT98" i="18" s="1" a="1"/>
  <c r="AT98" i="18" s="1"/>
  <c r="AY98" i="18" a="1"/>
  <c r="AY98" i="18" s="1"/>
  <c r="AW98" i="18" a="1"/>
  <c r="AW98" i="18" s="1"/>
  <c r="AU98" i="18" a="1"/>
  <c r="AU98" i="18" s="1"/>
  <c r="AX98" i="18" a="1"/>
  <c r="AX98" i="18" s="1"/>
  <c r="AV98" i="18" a="1"/>
  <c r="AV98" i="18" s="1"/>
  <c r="AW50" i="18" a="1"/>
  <c r="AW50" i="18" s="1"/>
  <c r="AY50" i="18" a="1"/>
  <c r="AY50" i="18" s="1"/>
  <c r="AV50" i="18" a="1"/>
  <c r="AV50" i="18" s="1"/>
  <c r="BE103" i="18"/>
  <c r="BG77" i="18"/>
  <c r="BI53" i="18"/>
  <c r="BE51" i="18"/>
  <c r="BG50" i="18"/>
  <c r="BE54" i="18"/>
  <c r="BK50" i="18"/>
  <c r="BM52" i="18"/>
  <c r="BG54" i="18"/>
  <c r="BG55" i="18"/>
  <c r="BI51" i="18"/>
  <c r="BM54" i="18"/>
  <c r="BC50" i="18"/>
  <c r="BG52" i="18"/>
  <c r="BE50" i="18"/>
  <c r="BK51" i="18"/>
  <c r="BC51" i="18"/>
  <c r="BK54" i="18"/>
  <c r="BE53" i="18"/>
  <c r="BM50" i="18"/>
  <c r="BM55" i="18"/>
  <c r="BM51" i="18"/>
  <c r="BG51" i="18"/>
  <c r="BI50" i="18"/>
  <c r="BK53" i="18"/>
  <c r="BK55" i="18"/>
  <c r="BE52" i="18"/>
  <c r="BC53" i="18"/>
  <c r="BC55" i="18"/>
  <c r="BI52" i="18"/>
  <c r="BI54" i="18"/>
  <c r="BC54" i="18"/>
  <c r="BC52" i="18"/>
  <c r="BI55" i="18"/>
  <c r="BK52" i="18"/>
  <c r="BM53" i="18"/>
  <c r="BE55" i="18"/>
  <c r="BI78" i="18" l="1"/>
  <c r="BC77" i="18"/>
  <c r="BC75" i="18"/>
  <c r="BG78" i="18"/>
  <c r="BM76" i="18"/>
  <c r="BE74" i="18"/>
  <c r="BK78" i="18"/>
  <c r="BG75" i="18"/>
  <c r="BE77" i="18"/>
  <c r="BE75" i="18"/>
  <c r="BE100" i="18"/>
  <c r="BM102" i="18"/>
  <c r="BI101" i="18"/>
  <c r="BM101" i="18"/>
  <c r="BM98" i="18"/>
  <c r="BM99" i="18"/>
  <c r="BC103" i="18"/>
  <c r="BG103" i="18"/>
  <c r="BI100" i="18"/>
  <c r="BG102" i="18"/>
  <c r="BM103" i="18"/>
  <c r="BK103" i="18"/>
  <c r="BE99" i="18"/>
  <c r="BK98" i="18"/>
  <c r="BI102" i="18"/>
  <c r="BC102" i="18"/>
  <c r="BK102" i="18"/>
  <c r="BG98" i="18"/>
  <c r="BI103" i="18"/>
  <c r="BC98" i="18"/>
  <c r="BK100" i="18"/>
  <c r="BI98" i="18"/>
  <c r="BC101" i="18"/>
  <c r="BE98" i="18"/>
  <c r="BC100" i="18"/>
  <c r="BG100" i="18"/>
  <c r="BG101" i="18"/>
  <c r="BE102" i="18"/>
  <c r="BI99" i="18"/>
  <c r="BE101" i="18"/>
  <c r="BC99" i="18"/>
  <c r="BK101" i="18"/>
  <c r="BM100" i="18"/>
  <c r="BK99" i="18"/>
  <c r="BG99" i="18"/>
  <c r="BK75" i="18"/>
  <c r="BG79" i="18"/>
  <c r="BM75" i="18"/>
  <c r="BC78" i="18"/>
  <c r="BG74" i="18"/>
  <c r="BK76" i="18"/>
  <c r="BE79" i="18"/>
  <c r="BK77" i="18"/>
  <c r="BI75" i="18"/>
  <c r="BK79" i="18"/>
  <c r="BM78" i="18"/>
  <c r="BG76" i="18"/>
  <c r="BC74" i="18"/>
  <c r="BC76" i="18"/>
  <c r="BI79" i="18"/>
  <c r="BM74" i="18"/>
  <c r="BI74" i="18"/>
  <c r="BE78" i="18"/>
  <c r="BE76" i="18"/>
  <c r="BM77" i="18"/>
  <c r="BM79" i="18"/>
  <c r="BK74" i="18"/>
  <c r="BI77" i="18"/>
  <c r="BI76" i="18"/>
  <c r="BC79" i="18"/>
  <c r="BG56" i="18"/>
  <c r="BH53" i="18" s="1"/>
  <c r="BC56" i="18"/>
  <c r="BD50" i="18" s="1"/>
  <c r="BK56" i="18"/>
  <c r="BL51" i="18" s="1"/>
  <c r="BM56" i="18"/>
  <c r="BN55" i="18" s="1"/>
  <c r="BI56" i="18"/>
  <c r="BJ52" i="18" s="1"/>
  <c r="BE56" i="18"/>
  <c r="BF54" i="18" s="1"/>
  <c r="BH55" i="18" l="1"/>
  <c r="BH51" i="18"/>
  <c r="BL52" i="18"/>
  <c r="BH50" i="18"/>
  <c r="BL50" i="18"/>
  <c r="BH52" i="18"/>
  <c r="BC80" i="18"/>
  <c r="BD77" i="18" s="1"/>
  <c r="BC104" i="18"/>
  <c r="BD103" i="18" s="1"/>
  <c r="BI104" i="18"/>
  <c r="BJ99" i="18" s="1"/>
  <c r="BE104" i="18"/>
  <c r="BF103" i="18" s="1"/>
  <c r="BG104" i="18"/>
  <c r="BH103" i="18" s="1"/>
  <c r="BK104" i="18"/>
  <c r="BL100" i="18" s="1"/>
  <c r="BM104" i="18"/>
  <c r="BN101" i="18" s="1"/>
  <c r="BK80" i="18"/>
  <c r="BL74" i="18" s="1"/>
  <c r="BG80" i="18"/>
  <c r="BH74" i="18" s="1"/>
  <c r="BI80" i="18"/>
  <c r="BJ78" i="18" s="1"/>
  <c r="BM80" i="18"/>
  <c r="BN75" i="18" s="1"/>
  <c r="BE80" i="18"/>
  <c r="BF78" i="18" s="1"/>
  <c r="BN52" i="18"/>
  <c r="BH54" i="18"/>
  <c r="BL53" i="18"/>
  <c r="BL103" i="18"/>
  <c r="BD54" i="18"/>
  <c r="BL54" i="18"/>
  <c r="BJ51" i="18"/>
  <c r="BD51" i="18"/>
  <c r="BF53" i="18"/>
  <c r="BJ55" i="18"/>
  <c r="BD53" i="18"/>
  <c r="BD52" i="18"/>
  <c r="BD55" i="18"/>
  <c r="BN51" i="18"/>
  <c r="BN50" i="18"/>
  <c r="BN54" i="18"/>
  <c r="BL55" i="18"/>
  <c r="BF51" i="18"/>
  <c r="BN53" i="18"/>
  <c r="BJ53" i="18"/>
  <c r="BJ50" i="18"/>
  <c r="BJ54" i="18"/>
  <c r="BJ98" i="18"/>
  <c r="BJ103" i="18"/>
  <c r="BD78" i="18"/>
  <c r="BF55" i="18"/>
  <c r="BF52" i="18"/>
  <c r="BF50" i="18"/>
  <c r="BH77" i="18" l="1"/>
  <c r="BN100" i="18"/>
  <c r="BD79" i="18"/>
  <c r="BD99" i="18"/>
  <c r="BF98" i="18"/>
  <c r="BF76" i="18"/>
  <c r="BL79" i="18"/>
  <c r="BF102" i="18"/>
  <c r="BF77" i="18"/>
  <c r="BL78" i="18"/>
  <c r="BF99" i="18"/>
  <c r="BF100" i="18"/>
  <c r="BF79" i="18"/>
  <c r="BL77" i="18"/>
  <c r="BF101" i="18"/>
  <c r="BJ102" i="18"/>
  <c r="BJ75" i="18"/>
  <c r="BD101" i="18"/>
  <c r="BH76" i="18"/>
  <c r="BD76" i="18"/>
  <c r="BH98" i="18"/>
  <c r="BH101" i="18"/>
  <c r="BD98" i="18"/>
  <c r="BH79" i="18"/>
  <c r="BH78" i="18"/>
  <c r="BD75" i="18"/>
  <c r="BL76" i="18"/>
  <c r="BL75" i="18"/>
  <c r="BH102" i="18"/>
  <c r="BD74" i="18"/>
  <c r="BN98" i="18"/>
  <c r="AT58" i="18" a="1"/>
  <c r="AT58" i="18" s="1"/>
  <c r="BN102" i="18"/>
  <c r="BN99" i="18"/>
  <c r="BJ77" i="18"/>
  <c r="BH75" i="18"/>
  <c r="BN103" i="18"/>
  <c r="BJ101" i="18"/>
  <c r="BL102" i="18"/>
  <c r="BJ100" i="18"/>
  <c r="BD100" i="18"/>
  <c r="BD102" i="18"/>
  <c r="BL98" i="18"/>
  <c r="BL99" i="18"/>
  <c r="BH99" i="18"/>
  <c r="BL101" i="18"/>
  <c r="BH100" i="18"/>
  <c r="BJ76" i="18"/>
  <c r="BN76" i="18"/>
  <c r="BJ74" i="18"/>
  <c r="BJ79" i="18"/>
  <c r="BN74" i="18"/>
  <c r="BF75" i="18"/>
  <c r="BF74" i="18"/>
  <c r="BN77" i="18"/>
  <c r="BN79" i="18"/>
  <c r="BN78" i="18"/>
  <c r="AT106" i="18" l="1" a="1"/>
  <c r="W123" i="18" s="1"/>
  <c r="Z116" i="18"/>
  <c r="AT82" i="18" a="1"/>
  <c r="Z120" i="18" s="1"/>
  <c r="Y115" i="18"/>
  <c r="V116" i="18"/>
  <c r="W114" i="18"/>
  <c r="Z115" i="18"/>
  <c r="V115" i="18"/>
  <c r="AA115" i="18"/>
  <c r="Y116" i="18"/>
  <c r="X117" i="18"/>
  <c r="X115" i="18"/>
  <c r="Z114" i="18"/>
  <c r="W117" i="18"/>
  <c r="W116" i="18"/>
  <c r="W115" i="18"/>
  <c r="AA116" i="18"/>
  <c r="AA117" i="18"/>
  <c r="X116" i="18"/>
  <c r="X114" i="18"/>
  <c r="AA114" i="18"/>
  <c r="V114" i="18"/>
  <c r="Z117" i="18"/>
  <c r="V117" i="18"/>
  <c r="Y114" i="18"/>
  <c r="Y117" i="18"/>
  <c r="Z124" i="18" l="1"/>
  <c r="V124" i="18"/>
  <c r="AA122" i="18"/>
  <c r="V123" i="18"/>
  <c r="X119" i="18"/>
  <c r="AA121" i="18"/>
  <c r="W121" i="18"/>
  <c r="AT82" i="18"/>
  <c r="V118" i="18" s="1"/>
  <c r="V119" i="18"/>
  <c r="Y121" i="18"/>
  <c r="V125" i="18"/>
  <c r="AA124" i="18"/>
  <c r="AA123" i="18"/>
  <c r="Y125" i="18"/>
  <c r="X123" i="18"/>
  <c r="AA125" i="18"/>
  <c r="W124" i="18"/>
  <c r="Z123" i="18"/>
  <c r="Y123" i="18"/>
  <c r="Z122" i="18"/>
  <c r="Z125" i="18"/>
  <c r="Y124" i="18"/>
  <c r="W125" i="18"/>
  <c r="X124" i="18"/>
  <c r="X122" i="18"/>
  <c r="X125" i="18"/>
  <c r="AT106" i="18"/>
  <c r="V122" i="18" s="1"/>
  <c r="W122" i="18"/>
  <c r="Y122" i="18"/>
  <c r="Y118" i="18"/>
  <c r="AA118" i="18"/>
  <c r="Z121" i="18"/>
  <c r="W118" i="18"/>
  <c r="Y120" i="18"/>
  <c r="X120" i="18"/>
  <c r="AA120" i="18"/>
  <c r="X121" i="18"/>
  <c r="W119" i="18"/>
  <c r="Z119" i="18"/>
  <c r="W120" i="18"/>
  <c r="V120" i="18"/>
  <c r="Z118" i="18"/>
  <c r="AA119" i="18"/>
  <c r="V121" i="18"/>
  <c r="X118" i="18"/>
  <c r="Y119" i="18"/>
  <c r="V129" i="18" l="1" a="1"/>
  <c r="Z139" i="18" s="1"/>
  <c r="AA142" i="18" l="1"/>
  <c r="V129" i="18"/>
  <c r="V138" i="18" s="1"/>
  <c r="W142" i="18"/>
  <c r="W141" i="18"/>
  <c r="X138" i="18"/>
  <c r="Z142" i="18"/>
  <c r="W138" i="18"/>
  <c r="V142" i="18"/>
  <c r="Z141" i="18"/>
  <c r="AA140" i="18"/>
  <c r="V140" i="18"/>
  <c r="Y140" i="18"/>
  <c r="V141" i="18"/>
  <c r="Y139" i="18"/>
  <c r="X139" i="18"/>
  <c r="W139" i="18"/>
  <c r="V139" i="18"/>
  <c r="Z138" i="18"/>
  <c r="W140" i="18"/>
  <c r="X141" i="18"/>
  <c r="AA141" i="18"/>
  <c r="AA138" i="18"/>
  <c r="X140" i="18"/>
  <c r="Y141" i="18"/>
  <c r="Y138" i="18"/>
  <c r="Z140" i="18"/>
  <c r="Y142" i="18"/>
  <c r="AA139" i="18"/>
  <c r="X142" i="18"/>
  <c r="BD156" i="18" l="1" a="1"/>
  <c r="BG165" i="18" s="1"/>
  <c r="BU156" i="18" a="1"/>
  <c r="BV168" i="18" s="1"/>
  <c r="V156" i="18" a="1"/>
  <c r="W166" i="18" s="1"/>
  <c r="AM156" i="18" a="1"/>
  <c r="AP165" i="18" s="1"/>
  <c r="AC148" i="18" a="1"/>
  <c r="AC148" i="18" s="1"/>
  <c r="AK147" i="18" s="1" a="1"/>
  <c r="BI170" i="18" l="1"/>
  <c r="BH164" i="18"/>
  <c r="BI169" i="18"/>
  <c r="BG167" i="18"/>
  <c r="AO167" i="18"/>
  <c r="BD166" i="18"/>
  <c r="BI167" i="18"/>
  <c r="BU168" i="18"/>
  <c r="BE170" i="18"/>
  <c r="BH170" i="18"/>
  <c r="AO169" i="18"/>
  <c r="X166" i="18"/>
  <c r="BW169" i="18"/>
  <c r="BZ164" i="18"/>
  <c r="BG164" i="18"/>
  <c r="BI164" i="18"/>
  <c r="BH167" i="18"/>
  <c r="BE165" i="18"/>
  <c r="BW166" i="18"/>
  <c r="BD168" i="18"/>
  <c r="BI168" i="18"/>
  <c r="BD165" i="18"/>
  <c r="BF164" i="18"/>
  <c r="AN147" i="18" a="1"/>
  <c r="AN147" i="18" s="1"/>
  <c r="X168" i="18"/>
  <c r="Z167" i="18"/>
  <c r="BV164" i="18"/>
  <c r="BX169" i="18"/>
  <c r="BU156" i="18"/>
  <c r="BU164" i="18" s="1"/>
  <c r="Y170" i="18"/>
  <c r="BU170" i="18"/>
  <c r="BZ169" i="18"/>
  <c r="BX167" i="18"/>
  <c r="BE169" i="18"/>
  <c r="BF165" i="18"/>
  <c r="BG168" i="18"/>
  <c r="BF169" i="18"/>
  <c r="BI166" i="18"/>
  <c r="AP147" i="18" a="1"/>
  <c r="AP147" i="18" s="1"/>
  <c r="W164" i="18"/>
  <c r="BW167" i="18"/>
  <c r="BY166" i="18"/>
  <c r="BY164" i="18"/>
  <c r="BX170" i="18"/>
  <c r="BU167" i="18"/>
  <c r="BX165" i="18"/>
  <c r="BV167" i="18"/>
  <c r="BV166" i="18"/>
  <c r="BW165" i="18"/>
  <c r="BW168" i="18"/>
  <c r="BZ166" i="18"/>
  <c r="BX168" i="18"/>
  <c r="BZ167" i="18"/>
  <c r="BZ165" i="18"/>
  <c r="BV165" i="18"/>
  <c r="BW164" i="18"/>
  <c r="BY168" i="18"/>
  <c r="BX164" i="18"/>
  <c r="BZ170" i="18"/>
  <c r="BV169" i="18"/>
  <c r="BY165" i="18"/>
  <c r="BY170" i="18"/>
  <c r="BF166" i="18"/>
  <c r="BD156" i="18"/>
  <c r="BD164" i="18" s="1"/>
  <c r="BE167" i="18"/>
  <c r="BG166" i="18"/>
  <c r="BD170" i="18"/>
  <c r="BI165" i="18"/>
  <c r="BG169" i="18"/>
  <c r="BH166" i="18"/>
  <c r="BH169" i="18"/>
  <c r="BE168" i="18"/>
  <c r="AL147" i="18" a="1"/>
  <c r="AL147" i="18" s="1"/>
  <c r="BW170" i="18"/>
  <c r="BY169" i="18"/>
  <c r="BY167" i="18"/>
  <c r="BU165" i="18"/>
  <c r="BZ168" i="18"/>
  <c r="BU166" i="18"/>
  <c r="BU169" i="18"/>
  <c r="BV170" i="18"/>
  <c r="BX166" i="18"/>
  <c r="BH168" i="18"/>
  <c r="BE164" i="18"/>
  <c r="BH165" i="18"/>
  <c r="BD169" i="18"/>
  <c r="BF168" i="18"/>
  <c r="BF167" i="18"/>
  <c r="BF170" i="18"/>
  <c r="BE166" i="18"/>
  <c r="BG170" i="18"/>
  <c r="BD167" i="18"/>
  <c r="AM167" i="18"/>
  <c r="AM147" i="18" a="1"/>
  <c r="AM147" i="18" s="1"/>
  <c r="AN169" i="18"/>
  <c r="AR165" i="18"/>
  <c r="AR169" i="18"/>
  <c r="W169" i="18"/>
  <c r="V167" i="18"/>
  <c r="AA164" i="18"/>
  <c r="W167" i="18"/>
  <c r="Y168" i="18"/>
  <c r="AR166" i="18"/>
  <c r="AN165" i="18"/>
  <c r="AQ170" i="18"/>
  <c r="AA165" i="18"/>
  <c r="W168" i="18"/>
  <c r="X170" i="18"/>
  <c r="V169" i="18"/>
  <c r="X165" i="18"/>
  <c r="AN170" i="18"/>
  <c r="AR168" i="18"/>
  <c r="V168" i="18"/>
  <c r="W165" i="18"/>
  <c r="X167" i="18"/>
  <c r="Y169" i="18"/>
  <c r="AA170" i="18"/>
  <c r="Y164" i="18"/>
  <c r="AM156" i="18"/>
  <c r="AM164" i="18" s="1"/>
  <c r="AP168" i="18"/>
  <c r="AO165" i="18"/>
  <c r="AR164" i="18"/>
  <c r="AO168" i="18"/>
  <c r="AQ166" i="18"/>
  <c r="AO170" i="18"/>
  <c r="AN166" i="18"/>
  <c r="AN167" i="18"/>
  <c r="AR170" i="18"/>
  <c r="AO166" i="18"/>
  <c r="AM165" i="18"/>
  <c r="AP166" i="18"/>
  <c r="AM170" i="18"/>
  <c r="AP169" i="18"/>
  <c r="AP170" i="18"/>
  <c r="AQ167" i="18"/>
  <c r="AQ168" i="18"/>
  <c r="AP164" i="18"/>
  <c r="AN168" i="18"/>
  <c r="Z170" i="18"/>
  <c r="Y167" i="18"/>
  <c r="X164" i="18"/>
  <c r="Z169" i="18"/>
  <c r="Y166" i="18"/>
  <c r="V170" i="18"/>
  <c r="Z168" i="18"/>
  <c r="Y165" i="18"/>
  <c r="W170" i="18"/>
  <c r="AA166" i="18"/>
  <c r="V156" i="18"/>
  <c r="V164" i="18" s="1"/>
  <c r="AM168" i="18"/>
  <c r="AP167" i="18"/>
  <c r="AQ165" i="18"/>
  <c r="AM169" i="18"/>
  <c r="AQ164" i="18"/>
  <c r="AN164" i="18"/>
  <c r="AR167" i="18"/>
  <c r="AO164" i="18"/>
  <c r="AM166" i="18"/>
  <c r="AQ169" i="18"/>
  <c r="AA169" i="18"/>
  <c r="Z166" i="18"/>
  <c r="V165" i="18"/>
  <c r="AA168" i="18"/>
  <c r="Z165" i="18"/>
  <c r="V166" i="18"/>
  <c r="AA167" i="18"/>
  <c r="Z164" i="18"/>
  <c r="X169" i="18"/>
  <c r="AO147" i="18" a="1"/>
  <c r="AO147" i="18" s="1"/>
  <c r="AK147" i="18"/>
  <c r="BD173" i="18" l="1" a="1"/>
  <c r="BG181" i="18" s="1"/>
  <c r="BU173" i="18" a="1"/>
  <c r="BV180" i="18" s="1"/>
  <c r="AS147" i="18" a="1"/>
  <c r="BZ185" i="18" s="1"/>
  <c r="V173" i="18" a="1"/>
  <c r="W180" i="18" s="1"/>
  <c r="AM173" i="18" a="1"/>
  <c r="AP182" i="18" s="1"/>
  <c r="BH179" i="18" l="1"/>
  <c r="BE180" i="18"/>
  <c r="BE183" i="18"/>
  <c r="BF179" i="18"/>
  <c r="BG179" i="18"/>
  <c r="BI180" i="18"/>
  <c r="BG182" i="18"/>
  <c r="BF181" i="18"/>
  <c r="BZ182" i="18"/>
  <c r="BH185" i="18"/>
  <c r="AR182" i="18"/>
  <c r="W185" i="18"/>
  <c r="X182" i="18"/>
  <c r="BV185" i="18"/>
  <c r="BE182" i="18"/>
  <c r="BI182" i="18"/>
  <c r="BG183" i="18"/>
  <c r="BF182" i="18"/>
  <c r="AM183" i="18"/>
  <c r="BI181" i="18"/>
  <c r="BI179" i="18"/>
  <c r="BG180" i="18"/>
  <c r="BI183" i="18"/>
  <c r="BX181" i="18"/>
  <c r="AQ182" i="18"/>
  <c r="AP185" i="18"/>
  <c r="BU185" i="18"/>
  <c r="AS147" i="18"/>
  <c r="V185" i="18" s="1"/>
  <c r="X180" i="18"/>
  <c r="BX185" i="18"/>
  <c r="AR185" i="18"/>
  <c r="AA179" i="18"/>
  <c r="BD185" i="18"/>
  <c r="BF185" i="18"/>
  <c r="Z185" i="18"/>
  <c r="AN185" i="18"/>
  <c r="Z183" i="18"/>
  <c r="BZ181" i="18"/>
  <c r="BD182" i="18"/>
  <c r="BF180" i="18"/>
  <c r="BD180" i="18"/>
  <c r="BD181" i="18"/>
  <c r="BH180" i="18"/>
  <c r="BH181" i="18"/>
  <c r="BD173" i="18"/>
  <c r="BD179" i="18" s="1"/>
  <c r="BW183" i="18"/>
  <c r="BV182" i="18"/>
  <c r="AO180" i="18"/>
  <c r="AR179" i="18"/>
  <c r="BE179" i="18"/>
  <c r="BD183" i="18"/>
  <c r="BH182" i="18"/>
  <c r="BH183" i="18"/>
  <c r="BF183" i="18"/>
  <c r="BE181" i="18"/>
  <c r="BV181" i="18"/>
  <c r="BX182" i="18"/>
  <c r="X179" i="18"/>
  <c r="AM180" i="18"/>
  <c r="AN180" i="18"/>
  <c r="BX180" i="18"/>
  <c r="BZ180" i="18"/>
  <c r="BZ183" i="18"/>
  <c r="BY179" i="18"/>
  <c r="BW179" i="18"/>
  <c r="BW180" i="18"/>
  <c r="BU180" i="18"/>
  <c r="BU181" i="18"/>
  <c r="BV183" i="18"/>
  <c r="BX183" i="18"/>
  <c r="BW181" i="18"/>
  <c r="BW182" i="18"/>
  <c r="BU182" i="18"/>
  <c r="BU183" i="18"/>
  <c r="BY182" i="18"/>
  <c r="BY183" i="18"/>
  <c r="AQ180" i="18"/>
  <c r="AQ181" i="18"/>
  <c r="AO183" i="18"/>
  <c r="AP181" i="18"/>
  <c r="BY180" i="18"/>
  <c r="BY181" i="18"/>
  <c r="BU173" i="18"/>
  <c r="BU179" i="18" s="1"/>
  <c r="BV179" i="18"/>
  <c r="BX179" i="18"/>
  <c r="BZ179" i="18"/>
  <c r="V183" i="18"/>
  <c r="Y179" i="18"/>
  <c r="AR183" i="18"/>
  <c r="AO181" i="18"/>
  <c r="AM173" i="18"/>
  <c r="AM179" i="18" s="1"/>
  <c r="AR181" i="18"/>
  <c r="W182" i="18"/>
  <c r="Y181" i="18"/>
  <c r="V173" i="18"/>
  <c r="V179" i="18" s="1"/>
  <c r="Z182" i="18"/>
  <c r="Z181" i="18"/>
  <c r="V182" i="18"/>
  <c r="V181" i="18"/>
  <c r="X185" i="18"/>
  <c r="BY185" i="18"/>
  <c r="BI185" i="18"/>
  <c r="AM185" i="18"/>
  <c r="BW185" i="18"/>
  <c r="BG185" i="18"/>
  <c r="W179" i="18"/>
  <c r="X183" i="18"/>
  <c r="X181" i="18"/>
  <c r="Z180" i="18"/>
  <c r="V180" i="18"/>
  <c r="Y183" i="18"/>
  <c r="Z179" i="18"/>
  <c r="AA182" i="18"/>
  <c r="AQ185" i="18"/>
  <c r="AA185" i="18"/>
  <c r="BE185" i="18"/>
  <c r="AO185" i="18"/>
  <c r="Y185" i="18"/>
  <c r="AA183" i="18"/>
  <c r="W183" i="18"/>
  <c r="W181" i="18"/>
  <c r="Y180" i="18"/>
  <c r="Y182" i="18"/>
  <c r="AA180" i="18"/>
  <c r="AA181" i="18"/>
  <c r="AQ179" i="18"/>
  <c r="AM181" i="18"/>
  <c r="AO182" i="18"/>
  <c r="AQ183" i="18"/>
  <c r="AN179" i="18"/>
  <c r="AP183" i="18"/>
  <c r="AN182" i="18"/>
  <c r="AP180" i="18"/>
  <c r="AO179" i="18"/>
  <c r="AR180" i="18"/>
  <c r="AM182" i="18"/>
  <c r="AN183" i="18"/>
  <c r="AP179" i="18"/>
  <c r="AN181" i="18"/>
  <c r="BD187" i="18" l="1" a="1"/>
  <c r="BD187" i="18" s="1"/>
  <c r="BU187" i="18" a="1"/>
  <c r="BU187" i="18" s="1"/>
  <c r="V187" i="18" a="1"/>
  <c r="V187" i="18" s="1"/>
  <c r="AM187" i="18" a="1"/>
  <c r="AM187" i="18" s="1"/>
  <c r="V195" i="18" l="1" a="1"/>
  <c r="V195" i="1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C62F56-F8E3-449E-9912-81D336250C1F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<sst xmlns="http://schemas.openxmlformats.org/spreadsheetml/2006/main" count="293" uniqueCount="89">
  <si>
    <t>t</t>
  </si>
  <si>
    <t>↓</t>
  </si>
  <si>
    <t>Wq</t>
  </si>
  <si>
    <t>→</t>
  </si>
  <si>
    <t>Wk</t>
  </si>
  <si>
    <t>K^T * Q / sqrt(dk)</t>
  </si>
  <si>
    <t>Softmax</t>
  </si>
  <si>
    <t>Wv</t>
  </si>
  <si>
    <t>V'</t>
  </si>
  <si>
    <t>Head</t>
  </si>
  <si>
    <t>Wo</t>
  </si>
  <si>
    <t>Output</t>
  </si>
  <si>
    <t>C_t^KV</t>
  </si>
  <si>
    <t>C_t^Q</t>
  </si>
  <si>
    <t>W^KR</t>
  </si>
  <si>
    <t>W^DKV</t>
  </si>
  <si>
    <t>W^QR</t>
  </si>
  <si>
    <t>W^DQ</t>
  </si>
  <si>
    <t>Q^R</t>
  </si>
  <si>
    <t>Q^C</t>
  </si>
  <si>
    <t>K^C</t>
  </si>
  <si>
    <t>K^R</t>
  </si>
  <si>
    <t>R1</t>
  </si>
  <si>
    <t>R2</t>
  </si>
  <si>
    <t>R3</t>
  </si>
  <si>
    <t>R4</t>
  </si>
  <si>
    <t>R5</t>
  </si>
  <si>
    <t>R6</t>
  </si>
  <si>
    <t>Sort by Columns</t>
  </si>
  <si>
    <t>Routed</t>
  </si>
  <si>
    <t>Gates</t>
  </si>
  <si>
    <t>t=</t>
  </si>
  <si>
    <t>Shared</t>
  </si>
  <si>
    <t>ReLU</t>
  </si>
  <si>
    <t>Linear</t>
  </si>
  <si>
    <t>W</t>
  </si>
  <si>
    <t>b</t>
  </si>
  <si>
    <t>V^C</t>
  </si>
  <si>
    <t>Sigmoid</t>
  </si>
  <si>
    <t>Affinity Scores</t>
  </si>
  <si>
    <t>Rank</t>
  </si>
  <si>
    <t>E2</t>
  </si>
  <si>
    <t>E1</t>
  </si>
  <si>
    <t>E3</t>
  </si>
  <si>
    <t>E4</t>
  </si>
  <si>
    <t>Top3</t>
  </si>
  <si>
    <t>MIT License</t>
  </si>
  <si>
    <t>Permission is hereby granted, free of charge, to any person obtaining a copy</t>
  </si>
  <si>
    <t>of this software and associated documentation files (the "Software"), to deal</t>
  </si>
  <si>
    <t>in the Software without restriction, including without limitation the rights</t>
  </si>
  <si>
    <t>to use, copy, modify, merge, publish, distribute, sublicense, and/or sell</t>
  </si>
  <si>
    <t>copies of the Software, and to permit persons to whom the Software is</t>
  </si>
  <si>
    <t>furnished to do so, subject to the following conditions:</t>
  </si>
  <si>
    <t>The above copyright notice and this permission notice shall be included in all</t>
  </si>
  <si>
    <t>copies or substantial portions of the Software.</t>
  </si>
  <si>
    <t>THE SOFTWARE IS PROVIDED "AS IS", WITHOUT WARRANTY OF ANY KIND, EXPRESS OR</t>
  </si>
  <si>
    <t>IMPLIED, INCLUDING BUT NOT LIMITED TO THE WARRANTIES OF MERCHANTABILITY,</t>
  </si>
  <si>
    <t>FITNESS FOR A PARTICULAR PURPOSE AND NONINFRINGEMENT. IN NO EVENT SHALL THE</t>
  </si>
  <si>
    <t>AUTHORS OR COPYRIGHT HOLDERS BE LIABLE FOR ANY CLAIM, DAMAGES OR OTHER</t>
  </si>
  <si>
    <t>LIABILITY, WHETHER IN AN ACTION OF CONTRACT, TORT OR OTHERWISE, ARISING FROM,</t>
  </si>
  <si>
    <t>OUT OF OR IN CONNECTION WITH THE SOFTWARE OR THE USE OR OTHER DEALINGS IN THE</t>
  </si>
  <si>
    <t>SOFTWARE.</t>
  </si>
  <si>
    <t>Copyright (c) 2025 Tom Yeh</t>
  </si>
  <si>
    <t>Model Size</t>
  </si>
  <si>
    <t>Content length</t>
  </si>
  <si>
    <t># ofheads</t>
  </si>
  <si>
    <t xml:space="preserve">per-head dimmensions </t>
  </si>
  <si>
    <t>Softmax function</t>
  </si>
  <si>
    <t>(Attention matrix)</t>
  </si>
  <si>
    <t>Real mode</t>
  </si>
  <si>
    <t>Real model</t>
  </si>
  <si>
    <t>Compression dimmensios</t>
  </si>
  <si>
    <t>Query</t>
  </si>
  <si>
    <t>Key/value</t>
  </si>
  <si>
    <t>Sum g FFNi</t>
  </si>
  <si>
    <t>on paper</t>
  </si>
  <si>
    <t>Offset</t>
  </si>
  <si>
    <t>Rotation of Positional Encoding</t>
  </si>
  <si>
    <t>dk= 6</t>
  </si>
  <si>
    <t>Rad</t>
  </si>
  <si>
    <t>Deg</t>
  </si>
  <si>
    <t>Rotation of Positional Encoder</t>
  </si>
  <si>
    <t>Rotation of Positional Encoder - Prof Ye</t>
  </si>
  <si>
    <t xml:space="preserve">Special </t>
  </si>
  <si>
    <t>handling</t>
  </si>
  <si>
    <t>https://www.byhand.ai/p/deepseek-lecture-128</t>
  </si>
  <si>
    <t>DeepSeek Lecture (1/28)</t>
  </si>
  <si>
    <t>Computer Vision - Spring 2025</t>
  </si>
  <si>
    <t>Tom Yeh, 27 Jan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</si>
</sst>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4"/>
      <color rgb="FF363737"/>
      <name val="Var(--font_family_headings, var"/>
    </font>
    <font>
      <sz val="13.5"/>
      <color theme="1"/>
      <name val="Var(--font_family_headings, va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theme="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111">
    <xf numFmtId="0" fontId="0" fillId="0" borderId="0" xfId="0"/>
    <xf numFmtId="0" fontId="2" fillId="2" borderId="1" xfId="1" applyFill="1" applyBorder="1" applyAlignment="1">
      <alignment horizontal="center"/>
    </xf>
    <xf numFmtId="0" fontId="2" fillId="2" borderId="2" xfId="1" applyFill="1" applyBorder="1" applyAlignment="1">
      <alignment horizontal="center"/>
    </xf>
    <xf numFmtId="0" fontId="2" fillId="2" borderId="3" xfId="1" applyFill="1" applyBorder="1" applyAlignment="1">
      <alignment horizontal="center"/>
    </xf>
    <xf numFmtId="0" fontId="2" fillId="2" borderId="4" xfId="1" applyFill="1" applyBorder="1" applyAlignment="1">
      <alignment horizontal="center"/>
    </xf>
    <xf numFmtId="0" fontId="2" fillId="2" borderId="5" xfId="1" applyFill="1" applyBorder="1" applyAlignment="1">
      <alignment horizontal="center"/>
    </xf>
    <xf numFmtId="0" fontId="2" fillId="2" borderId="6" xfId="1" applyFill="1" applyBorder="1" applyAlignment="1">
      <alignment horizontal="center"/>
    </xf>
    <xf numFmtId="0" fontId="2" fillId="0" borderId="0" xfId="1"/>
    <xf numFmtId="0" fontId="2" fillId="2" borderId="7" xfId="1" applyFill="1" applyBorder="1" applyAlignment="1">
      <alignment horizontal="center"/>
    </xf>
    <xf numFmtId="0" fontId="2" fillId="2" borderId="8" xfId="1" applyFill="1" applyBorder="1" applyAlignment="1">
      <alignment horizontal="center"/>
    </xf>
    <xf numFmtId="0" fontId="2" fillId="2" borderId="9" xfId="1" applyFill="1" applyBorder="1" applyAlignment="1">
      <alignment horizontal="center"/>
    </xf>
    <xf numFmtId="0" fontId="2" fillId="0" borderId="0" xfId="1" applyAlignment="1">
      <alignment horizontal="center"/>
    </xf>
    <xf numFmtId="0" fontId="2" fillId="3" borderId="0" xfId="1" applyFill="1" applyAlignment="1">
      <alignment horizontal="center"/>
    </xf>
    <xf numFmtId="0" fontId="2" fillId="0" borderId="10" xfId="1" applyBorder="1" applyAlignment="1">
      <alignment horizontal="center"/>
    </xf>
    <xf numFmtId="0" fontId="2" fillId="0" borderId="5" xfId="1" applyBorder="1" applyAlignment="1">
      <alignment horizontal="center"/>
    </xf>
    <xf numFmtId="0" fontId="2" fillId="0" borderId="11" xfId="1" applyBorder="1" applyAlignment="1">
      <alignment horizontal="center"/>
    </xf>
    <xf numFmtId="0" fontId="2" fillId="0" borderId="0" xfId="1" applyAlignment="1">
      <alignment horizontal="left"/>
    </xf>
    <xf numFmtId="0" fontId="2" fillId="0" borderId="12" xfId="1" applyBorder="1" applyAlignment="1">
      <alignment horizontal="center"/>
    </xf>
    <xf numFmtId="0" fontId="2" fillId="0" borderId="13" xfId="1" applyBorder="1" applyAlignment="1">
      <alignment horizontal="center"/>
    </xf>
    <xf numFmtId="0" fontId="2" fillId="0" borderId="14" xfId="1" applyBorder="1" applyAlignment="1">
      <alignment horizontal="center"/>
    </xf>
    <xf numFmtId="0" fontId="2" fillId="0" borderId="1" xfId="1" applyBorder="1" applyAlignment="1">
      <alignment horizontal="center"/>
    </xf>
    <xf numFmtId="0" fontId="2" fillId="0" borderId="2" xfId="1" applyBorder="1" applyAlignment="1">
      <alignment horizontal="center"/>
    </xf>
    <xf numFmtId="0" fontId="2" fillId="0" borderId="3" xfId="1" applyBorder="1" applyAlignment="1">
      <alignment horizontal="center"/>
    </xf>
    <xf numFmtId="0" fontId="2" fillId="0" borderId="4" xfId="1" applyBorder="1" applyAlignment="1">
      <alignment horizontal="center"/>
    </xf>
    <xf numFmtId="0" fontId="2" fillId="0" borderId="6" xfId="1" applyBorder="1" applyAlignment="1">
      <alignment horizontal="center"/>
    </xf>
    <xf numFmtId="0" fontId="2" fillId="0" borderId="7" xfId="1" applyBorder="1" applyAlignment="1">
      <alignment horizontal="center"/>
    </xf>
    <xf numFmtId="0" fontId="2" fillId="0" borderId="8" xfId="1" applyBorder="1" applyAlignment="1">
      <alignment horizontal="center"/>
    </xf>
    <xf numFmtId="0" fontId="2" fillId="0" borderId="9" xfId="1" applyBorder="1" applyAlignment="1">
      <alignment horizontal="center"/>
    </xf>
    <xf numFmtId="0" fontId="4" fillId="0" borderId="0" xfId="0" applyFont="1"/>
    <xf numFmtId="0" fontId="2" fillId="5" borderId="10" xfId="1" applyFill="1" applyBorder="1" applyAlignment="1">
      <alignment horizontal="center"/>
    </xf>
    <xf numFmtId="0" fontId="2" fillId="5" borderId="5" xfId="1" applyFill="1" applyBorder="1" applyAlignment="1">
      <alignment horizontal="center"/>
    </xf>
    <xf numFmtId="0" fontId="2" fillId="5" borderId="11" xfId="1" applyFill="1" applyBorder="1" applyAlignment="1">
      <alignment horizontal="center"/>
    </xf>
    <xf numFmtId="0" fontId="3" fillId="0" borderId="0" xfId="0" applyFont="1" applyAlignment="1">
      <alignment horizontal="left"/>
    </xf>
    <xf numFmtId="0" fontId="2" fillId="6" borderId="0" xfId="1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8" borderId="0" xfId="0" applyFont="1" applyFill="1" applyAlignment="1">
      <alignment horizontal="center"/>
    </xf>
    <xf numFmtId="0" fontId="2" fillId="7" borderId="10" xfId="1" applyFill="1" applyBorder="1" applyAlignment="1">
      <alignment horizontal="center"/>
    </xf>
    <xf numFmtId="0" fontId="2" fillId="7" borderId="5" xfId="1" applyFill="1" applyBorder="1" applyAlignment="1">
      <alignment horizontal="center"/>
    </xf>
    <xf numFmtId="0" fontId="2" fillId="7" borderId="11" xfId="1" applyFill="1" applyBorder="1" applyAlignment="1">
      <alignment horizontal="center"/>
    </xf>
    <xf numFmtId="0" fontId="2" fillId="9" borderId="0" xfId="1" applyFill="1" applyAlignment="1">
      <alignment horizontal="center"/>
    </xf>
    <xf numFmtId="0" fontId="6" fillId="0" borderId="0" xfId="1" applyFont="1"/>
    <xf numFmtId="0" fontId="0" fillId="3" borderId="0" xfId="0" applyFill="1"/>
    <xf numFmtId="0" fontId="7" fillId="0" borderId="0" xfId="0" applyFont="1"/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17" xfId="0" applyBorder="1"/>
    <xf numFmtId="0" fontId="0" fillId="4" borderId="17" xfId="0" applyFill="1" applyBorder="1"/>
    <xf numFmtId="0" fontId="8" fillId="0" borderId="0" xfId="1" applyFont="1"/>
    <xf numFmtId="0" fontId="3" fillId="0" borderId="0" xfId="2" applyFont="1" applyAlignment="1">
      <alignment wrapText="1"/>
    </xf>
    <xf numFmtId="0" fontId="3" fillId="0" borderId="0" xfId="2" applyFont="1"/>
    <xf numFmtId="0" fontId="3" fillId="0" borderId="0" xfId="2" applyFont="1" applyAlignment="1">
      <alignment horizontal="left" wrapText="1"/>
    </xf>
    <xf numFmtId="164" fontId="0" fillId="0" borderId="0" xfId="0" applyNumberFormat="1"/>
    <xf numFmtId="0" fontId="0" fillId="0" borderId="0" xfId="1" applyFont="1"/>
    <xf numFmtId="0" fontId="2" fillId="0" borderId="24" xfId="1" applyBorder="1" applyAlignment="1">
      <alignment horizontal="center"/>
    </xf>
    <xf numFmtId="164" fontId="2" fillId="4" borderId="17" xfId="1" applyNumberFormat="1" applyFill="1" applyBorder="1" applyAlignment="1">
      <alignment horizontal="center"/>
    </xf>
    <xf numFmtId="0" fontId="2" fillId="0" borderId="17" xfId="1" applyBorder="1" applyAlignment="1">
      <alignment horizontal="center"/>
    </xf>
    <xf numFmtId="0" fontId="2" fillId="4" borderId="0" xfId="1" applyFill="1" applyAlignment="1">
      <alignment horizontal="center"/>
    </xf>
    <xf numFmtId="164" fontId="2" fillId="4" borderId="0" xfId="1" applyNumberFormat="1" applyFill="1" applyAlignment="1">
      <alignment horizontal="center"/>
    </xf>
    <xf numFmtId="0" fontId="2" fillId="4" borderId="19" xfId="1" applyFill="1" applyBorder="1" applyAlignment="1">
      <alignment horizontal="center"/>
    </xf>
    <xf numFmtId="0" fontId="2" fillId="4" borderId="25" xfId="1" applyFill="1" applyBorder="1" applyAlignment="1">
      <alignment horizontal="center"/>
    </xf>
    <xf numFmtId="0" fontId="2" fillId="4" borderId="20" xfId="1" applyFill="1" applyBorder="1" applyAlignment="1">
      <alignment horizontal="center"/>
    </xf>
    <xf numFmtId="0" fontId="2" fillId="4" borderId="26" xfId="1" applyFill="1" applyBorder="1" applyAlignment="1">
      <alignment horizontal="center"/>
    </xf>
    <xf numFmtId="0" fontId="2" fillId="4" borderId="27" xfId="1" applyFill="1" applyBorder="1" applyAlignment="1">
      <alignment horizontal="center"/>
    </xf>
    <xf numFmtId="0" fontId="2" fillId="4" borderId="21" xfId="1" applyFill="1" applyBorder="1" applyAlignment="1">
      <alignment horizontal="center"/>
    </xf>
    <xf numFmtId="0" fontId="2" fillId="4" borderId="28" xfId="1" applyFill="1" applyBorder="1" applyAlignment="1">
      <alignment horizontal="center"/>
    </xf>
    <xf numFmtId="0" fontId="2" fillId="4" borderId="22" xfId="1" applyFill="1" applyBorder="1" applyAlignment="1">
      <alignment horizontal="center"/>
    </xf>
    <xf numFmtId="164" fontId="2" fillId="4" borderId="19" xfId="1" applyNumberFormat="1" applyFill="1" applyBorder="1" applyAlignment="1">
      <alignment horizontal="center"/>
    </xf>
    <xf numFmtId="164" fontId="2" fillId="4" borderId="25" xfId="1" applyNumberFormat="1" applyFill="1" applyBorder="1" applyAlignment="1">
      <alignment horizontal="center"/>
    </xf>
    <xf numFmtId="164" fontId="2" fillId="4" borderId="20" xfId="1" applyNumberFormat="1" applyFill="1" applyBorder="1" applyAlignment="1">
      <alignment horizontal="center"/>
    </xf>
    <xf numFmtId="164" fontId="2" fillId="4" borderId="26" xfId="1" applyNumberFormat="1" applyFill="1" applyBorder="1" applyAlignment="1">
      <alignment horizontal="center"/>
    </xf>
    <xf numFmtId="164" fontId="2" fillId="4" borderId="27" xfId="1" applyNumberFormat="1" applyFill="1" applyBorder="1" applyAlignment="1">
      <alignment horizontal="center"/>
    </xf>
    <xf numFmtId="164" fontId="2" fillId="4" borderId="21" xfId="1" applyNumberFormat="1" applyFill="1" applyBorder="1" applyAlignment="1">
      <alignment horizontal="center"/>
    </xf>
    <xf numFmtId="164" fontId="2" fillId="4" borderId="28" xfId="1" applyNumberFormat="1" applyFill="1" applyBorder="1" applyAlignment="1">
      <alignment horizontal="center"/>
    </xf>
    <xf numFmtId="164" fontId="2" fillId="4" borderId="22" xfId="1" applyNumberFormat="1" applyFill="1" applyBorder="1" applyAlignment="1">
      <alignment horizontal="center"/>
    </xf>
    <xf numFmtId="164" fontId="2" fillId="5" borderId="10" xfId="1" applyNumberFormat="1" applyFill="1" applyBorder="1" applyAlignment="1">
      <alignment horizontal="center"/>
    </xf>
    <xf numFmtId="164" fontId="2" fillId="5" borderId="5" xfId="1" applyNumberFormat="1" applyFill="1" applyBorder="1" applyAlignment="1">
      <alignment horizontal="center"/>
    </xf>
    <xf numFmtId="164" fontId="2" fillId="5" borderId="11" xfId="1" applyNumberFormat="1" applyFill="1" applyBorder="1" applyAlignment="1">
      <alignment horizontal="center"/>
    </xf>
    <xf numFmtId="0" fontId="2" fillId="0" borderId="15" xfId="1" applyBorder="1" applyAlignment="1">
      <alignment horizontal="center"/>
    </xf>
    <xf numFmtId="0" fontId="2" fillId="0" borderId="16" xfId="1" applyBorder="1" applyAlignment="1">
      <alignment horizontal="center"/>
    </xf>
    <xf numFmtId="164" fontId="2" fillId="2" borderId="18" xfId="1" applyNumberFormat="1" applyFill="1" applyBorder="1" applyAlignment="1">
      <alignment horizontal="center"/>
    </xf>
    <xf numFmtId="164" fontId="2" fillId="2" borderId="15" xfId="1" applyNumberFormat="1" applyFill="1" applyBorder="1" applyAlignment="1">
      <alignment horizontal="center"/>
    </xf>
    <xf numFmtId="164" fontId="2" fillId="2" borderId="16" xfId="1" applyNumberFormat="1" applyFill="1" applyBorder="1" applyAlignment="1">
      <alignment horizontal="center"/>
    </xf>
    <xf numFmtId="2" fontId="0" fillId="0" borderId="17" xfId="0" applyNumberFormat="1" applyBorder="1"/>
    <xf numFmtId="0" fontId="0" fillId="4" borderId="0" xfId="0" applyFill="1"/>
    <xf numFmtId="2" fontId="1" fillId="0" borderId="19" xfId="0" applyNumberFormat="1" applyFont="1" applyBorder="1"/>
    <xf numFmtId="2" fontId="1" fillId="0" borderId="20" xfId="0" applyNumberFormat="1" applyFont="1" applyBorder="1"/>
    <xf numFmtId="2" fontId="1" fillId="0" borderId="19" xfId="1" applyNumberFormat="1" applyFont="1" applyBorder="1"/>
    <xf numFmtId="2" fontId="1" fillId="0" borderId="20" xfId="1" applyNumberFormat="1" applyFont="1" applyBorder="1"/>
    <xf numFmtId="2" fontId="1" fillId="0" borderId="21" xfId="0" applyNumberFormat="1" applyFont="1" applyBorder="1"/>
    <xf numFmtId="2" fontId="1" fillId="0" borderId="22" xfId="0" applyNumberFormat="1" applyFont="1" applyBorder="1"/>
    <xf numFmtId="2" fontId="1" fillId="0" borderId="21" xfId="1" applyNumberFormat="1" applyFont="1" applyBorder="1"/>
    <xf numFmtId="2" fontId="1" fillId="0" borderId="22" xfId="1" applyNumberFormat="1" applyFont="1" applyBorder="1"/>
    <xf numFmtId="2" fontId="1" fillId="0" borderId="1" xfId="1" applyNumberFormat="1" applyFont="1" applyBorder="1" applyAlignment="1">
      <alignment horizontal="center"/>
    </xf>
    <xf numFmtId="2" fontId="1" fillId="0" borderId="2" xfId="1" applyNumberFormat="1" applyFont="1" applyBorder="1" applyAlignment="1">
      <alignment horizontal="center"/>
    </xf>
    <xf numFmtId="2" fontId="1" fillId="0" borderId="3" xfId="1" applyNumberFormat="1" applyFont="1" applyBorder="1" applyAlignment="1">
      <alignment horizontal="center"/>
    </xf>
    <xf numFmtId="2" fontId="1" fillId="0" borderId="4" xfId="1" applyNumberFormat="1" applyFont="1" applyBorder="1" applyAlignment="1">
      <alignment horizontal="center"/>
    </xf>
    <xf numFmtId="2" fontId="1" fillId="0" borderId="5" xfId="1" applyNumberFormat="1" applyFont="1" applyBorder="1" applyAlignment="1">
      <alignment horizontal="center"/>
    </xf>
    <xf numFmtId="2" fontId="1" fillId="0" borderId="6" xfId="1" applyNumberFormat="1" applyFont="1" applyBorder="1" applyAlignment="1">
      <alignment horizontal="center"/>
    </xf>
    <xf numFmtId="2" fontId="1" fillId="0" borderId="7" xfId="1" applyNumberFormat="1" applyFont="1" applyBorder="1" applyAlignment="1">
      <alignment horizontal="center"/>
    </xf>
    <xf numFmtId="2" fontId="1" fillId="0" borderId="8" xfId="1" applyNumberFormat="1" applyFont="1" applyBorder="1" applyAlignment="1">
      <alignment horizontal="center"/>
    </xf>
    <xf numFmtId="2" fontId="1" fillId="0" borderId="9" xfId="1" applyNumberFormat="1" applyFont="1" applyBorder="1" applyAlignment="1">
      <alignment horizontal="center"/>
    </xf>
    <xf numFmtId="2" fontId="1" fillId="0" borderId="23" xfId="1" applyNumberFormat="1" applyFont="1" applyBorder="1" applyAlignment="1">
      <alignment horizontal="center"/>
    </xf>
    <xf numFmtId="2" fontId="2" fillId="0" borderId="18" xfId="1" applyNumberFormat="1" applyBorder="1" applyAlignment="1">
      <alignment horizontal="center"/>
    </xf>
    <xf numFmtId="2" fontId="2" fillId="0" borderId="16" xfId="1" applyNumberFormat="1" applyBorder="1" applyAlignment="1">
      <alignment horizontal="center"/>
    </xf>
    <xf numFmtId="2" fontId="2" fillId="0" borderId="12" xfId="1" applyNumberFormat="1" applyBorder="1" applyAlignment="1">
      <alignment horizontal="center"/>
    </xf>
    <xf numFmtId="2" fontId="2" fillId="0" borderId="13" xfId="1" applyNumberFormat="1" applyBorder="1" applyAlignment="1">
      <alignment horizontal="center"/>
    </xf>
    <xf numFmtId="0" fontId="9" fillId="0" borderId="0" xfId="0" applyFont="1" applyAlignment="1">
      <alignment vertical="center"/>
    </xf>
    <xf numFmtId="0" fontId="0" fillId="0" borderId="0" xfId="0" applyAlignment="1"/>
    <xf numFmtId="0" fontId="10" fillId="0" borderId="0" xfId="0" applyFont="1" applyAlignment="1">
      <alignment vertical="center"/>
    </xf>
  </cellXfs>
  <cellStyles count="3">
    <cellStyle name="Normal" xfId="0" builtinId="0"/>
    <cellStyle name="Normal 2" xfId="1" xr:uid="{F4FEA8BE-2796-3842-A6CD-67AC0706D80E}"/>
    <cellStyle name="Normal 2 2" xfId="2" xr:uid="{48A7B00B-3E0D-F242-AC63-9468B59B7E82}"/>
  </cellStyles>
  <dxfs count="5">
    <dxf>
      <fill>
        <patternFill>
          <fgColor auto="1"/>
          <bgColor theme="0" tint="-0.499984740745262"/>
        </patternFill>
      </fill>
    </dxf>
    <dxf>
      <fill>
        <patternFill>
          <fgColor auto="1"/>
          <bgColor theme="0" tint="-0.499984740745262"/>
        </patternFill>
      </fill>
    </dxf>
    <dxf>
      <fill>
        <patternFill>
          <fgColor auto="1"/>
          <bgColor theme="0" tint="-0.499984740745262"/>
        </patternFill>
      </fill>
    </dxf>
    <dxf>
      <fill>
        <patternFill>
          <fgColor auto="1"/>
          <bgColor theme="0" tint="-0.499984740745262"/>
        </patternFill>
      </fill>
    </dxf>
    <dxf>
      <fill>
        <patternFill>
          <fgColor auto="1"/>
          <bgColor theme="0" tint="-0.499984740745262"/>
        </patternFill>
      </fill>
    </dxf>
  </dxfs>
  <tableStyles count="0" defaultTableStyle="TableStyleMedium2" defaultPivotStyle="PivotStyleLight16"/>
  <colors>
    <mruColors>
      <color rgb="FFFF8AD8"/>
      <color rgb="FFD883FF"/>
      <color rgb="FFFF2F92"/>
      <color rgb="FF73F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111403</xdr:colOff>
      <xdr:row>2</xdr:row>
      <xdr:rowOff>66842</xdr:rowOff>
    </xdr:from>
    <xdr:to>
      <xdr:col>53</xdr:col>
      <xdr:colOff>111405</xdr:colOff>
      <xdr:row>134</xdr:row>
      <xdr:rowOff>42333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471D450-034C-B544-AD1D-91D14FC44F33}"/>
            </a:ext>
          </a:extLst>
        </xdr:cNvPr>
        <xdr:cNvSpPr/>
      </xdr:nvSpPr>
      <xdr:spPr>
        <a:xfrm>
          <a:off x="848003" y="473242"/>
          <a:ext cx="18783302" cy="26797891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5400" b="1" kern="1200"/>
            <a:t>Multi-head </a:t>
          </a:r>
        </a:p>
        <a:p>
          <a:pPr algn="l"/>
          <a:r>
            <a:rPr lang="en-US" sz="5400" b="1" kern="1200">
              <a:solidFill>
                <a:srgbClr val="00B050"/>
              </a:solidFill>
            </a:rPr>
            <a:t>Latent</a:t>
          </a:r>
          <a:r>
            <a:rPr lang="en-US" sz="5400" b="1" kern="1200"/>
            <a:t> Attention</a:t>
          </a:r>
        </a:p>
        <a:p>
          <a:pPr algn="l"/>
          <a:endParaRPr lang="en-US" sz="5400" b="1" kern="1200"/>
        </a:p>
      </xdr:txBody>
    </xdr:sp>
    <xdr:clientData/>
  </xdr:twoCellAnchor>
  <xdr:twoCellAnchor>
    <xdr:from>
      <xdr:col>9</xdr:col>
      <xdr:colOff>356492</xdr:colOff>
      <xdr:row>39</xdr:row>
      <xdr:rowOff>169333</xdr:rowOff>
    </xdr:from>
    <xdr:to>
      <xdr:col>52</xdr:col>
      <xdr:colOff>158750</xdr:colOff>
      <xdr:row>62</xdr:row>
      <xdr:rowOff>169332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EF3C7F0-F7BB-DA40-92BB-184F1E6D5EF8}"/>
            </a:ext>
          </a:extLst>
        </xdr:cNvPr>
        <xdr:cNvSpPr/>
      </xdr:nvSpPr>
      <xdr:spPr>
        <a:xfrm>
          <a:off x="3671192" y="8094133"/>
          <a:ext cx="15639158" cy="4673599"/>
        </a:xfrm>
        <a:prstGeom prst="rect">
          <a:avLst/>
        </a:prstGeom>
        <a:noFill/>
        <a:ln w="38100">
          <a:solidFill>
            <a:schemeClr val="accent6">
              <a:lumMod val="75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800" b="1" kern="1200"/>
            <a:t>Head 1</a:t>
          </a:r>
        </a:p>
      </xdr:txBody>
    </xdr:sp>
    <xdr:clientData/>
  </xdr:twoCellAnchor>
  <xdr:twoCellAnchor>
    <xdr:from>
      <xdr:col>14</xdr:col>
      <xdr:colOff>352779</xdr:colOff>
      <xdr:row>111</xdr:row>
      <xdr:rowOff>127000</xdr:rowOff>
    </xdr:from>
    <xdr:to>
      <xdr:col>28</xdr:col>
      <xdr:colOff>84668</xdr:colOff>
      <xdr:row>125</xdr:row>
      <xdr:rowOff>84667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8344997-992E-BF42-9682-1ADFF2C3F35C}"/>
            </a:ext>
          </a:extLst>
        </xdr:cNvPr>
        <xdr:cNvSpPr/>
      </xdr:nvSpPr>
      <xdr:spPr>
        <a:xfrm>
          <a:off x="5508979" y="22682200"/>
          <a:ext cx="4888089" cy="2802467"/>
        </a:xfrm>
        <a:prstGeom prst="rect">
          <a:avLst/>
        </a:prstGeom>
        <a:noFill/>
        <a:ln w="38100">
          <a:solidFill>
            <a:schemeClr val="accent4">
              <a:lumMod val="75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800" b="1" kern="1200"/>
            <a:t>Concat</a:t>
          </a:r>
        </a:p>
      </xdr:txBody>
    </xdr:sp>
    <xdr:clientData/>
  </xdr:twoCellAnchor>
  <xdr:twoCellAnchor>
    <xdr:from>
      <xdr:col>3</xdr:col>
      <xdr:colOff>235857</xdr:colOff>
      <xdr:row>125</xdr:row>
      <xdr:rowOff>183445</xdr:rowOff>
    </xdr:from>
    <xdr:to>
      <xdr:col>28</xdr:col>
      <xdr:colOff>98778</xdr:colOff>
      <xdr:row>133</xdr:row>
      <xdr:rowOff>112888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B368749-F35A-AC44-8AFA-488711D94885}"/>
            </a:ext>
          </a:extLst>
        </xdr:cNvPr>
        <xdr:cNvSpPr/>
      </xdr:nvSpPr>
      <xdr:spPr>
        <a:xfrm>
          <a:off x="1340757" y="25583445"/>
          <a:ext cx="9070421" cy="1555043"/>
        </a:xfrm>
        <a:prstGeom prst="rect">
          <a:avLst/>
        </a:prstGeom>
        <a:noFill/>
        <a:ln w="38100">
          <a:solidFill>
            <a:schemeClr val="bg2">
              <a:lumMod val="5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000" b="1" kern="1200"/>
            <a:t>Output Projection</a:t>
          </a:r>
        </a:p>
      </xdr:txBody>
    </xdr:sp>
    <xdr:clientData/>
  </xdr:twoCellAnchor>
  <xdr:oneCellAnchor>
    <xdr:from>
      <xdr:col>18</xdr:col>
      <xdr:colOff>133684</xdr:colOff>
      <xdr:row>5</xdr:row>
      <xdr:rowOff>44563</xdr:rowOff>
    </xdr:from>
    <xdr:ext cx="787973" cy="405432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B13A835-F855-4444-B2CC-5A5CB103F2C4}"/>
            </a:ext>
          </a:extLst>
        </xdr:cNvPr>
        <xdr:cNvSpPr txBox="1"/>
      </xdr:nvSpPr>
      <xdr:spPr>
        <a:xfrm>
          <a:off x="6763084" y="1060563"/>
          <a:ext cx="787973" cy="405432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 b="1" kern="1200"/>
            <a:t>Input</a:t>
          </a:r>
          <a:r>
            <a:rPr lang="en-US" sz="2000" b="1" kern="1200" baseline="0"/>
            <a:t> </a:t>
          </a:r>
          <a:endParaRPr lang="en-US" sz="2000" b="1" kern="1200"/>
        </a:p>
      </xdr:txBody>
    </xdr:sp>
    <xdr:clientData/>
  </xdr:oneCellAnchor>
  <xdr:oneCellAnchor>
    <xdr:from>
      <xdr:col>28</xdr:col>
      <xdr:colOff>202011</xdr:colOff>
      <xdr:row>129</xdr:row>
      <xdr:rowOff>131455</xdr:rowOff>
    </xdr:from>
    <xdr:ext cx="968663" cy="40543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0DB3EC6-2780-794C-AACF-DAD8B310B4BD}"/>
            </a:ext>
          </a:extLst>
        </xdr:cNvPr>
        <xdr:cNvSpPr txBox="1"/>
      </xdr:nvSpPr>
      <xdr:spPr>
        <a:xfrm>
          <a:off x="10514411" y="26344255"/>
          <a:ext cx="968663" cy="405432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 b="1" kern="1200"/>
            <a:t>Output</a:t>
          </a:r>
          <a:r>
            <a:rPr lang="en-US" sz="2000" b="1" kern="1200" baseline="0"/>
            <a:t> </a:t>
          </a:r>
          <a:endParaRPr lang="en-US" sz="2000" b="1" kern="1200"/>
        </a:p>
      </xdr:txBody>
    </xdr:sp>
    <xdr:clientData/>
  </xdr:oneCellAnchor>
  <xdr:twoCellAnchor>
    <xdr:from>
      <xdr:col>28</xdr:col>
      <xdr:colOff>214415</xdr:colOff>
      <xdr:row>40</xdr:row>
      <xdr:rowOff>42333</xdr:rowOff>
    </xdr:from>
    <xdr:to>
      <xdr:col>51</xdr:col>
      <xdr:colOff>238125</xdr:colOff>
      <xdr:row>62</xdr:row>
      <xdr:rowOff>15875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3864078-2CB3-AD4E-A710-CDC7BF936E97}"/>
            </a:ext>
          </a:extLst>
        </xdr:cNvPr>
        <xdr:cNvSpPr/>
      </xdr:nvSpPr>
      <xdr:spPr>
        <a:xfrm>
          <a:off x="10526815" y="8170333"/>
          <a:ext cx="8494610" cy="4443942"/>
        </a:xfrm>
        <a:prstGeom prst="rect">
          <a:avLst/>
        </a:prstGeom>
        <a:noFill/>
        <a:ln w="19050">
          <a:solidFill>
            <a:srgbClr val="7030A0"/>
          </a:solidFill>
          <a:prstDash val="sysDas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 kern="1200"/>
            <a:t>Scaled Dot-Product</a:t>
          </a:r>
          <a:r>
            <a:rPr lang="en-US" sz="1400" b="1" kern="1200" baseline="0"/>
            <a:t> </a:t>
          </a:r>
          <a:endParaRPr lang="en-US" sz="1400" b="1" kern="1200"/>
        </a:p>
      </xdr:txBody>
    </xdr:sp>
    <xdr:clientData/>
  </xdr:twoCellAnchor>
  <xdr:twoCellAnchor>
    <xdr:from>
      <xdr:col>13</xdr:col>
      <xdr:colOff>214415</xdr:colOff>
      <xdr:row>40</xdr:row>
      <xdr:rowOff>70556</xdr:rowOff>
    </xdr:from>
    <xdr:to>
      <xdr:col>27</xdr:col>
      <xdr:colOff>181428</xdr:colOff>
      <xdr:row>57</xdr:row>
      <xdr:rowOff>126999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69004F98-495C-3242-A1FC-ECED6529E728}"/>
            </a:ext>
          </a:extLst>
        </xdr:cNvPr>
        <xdr:cNvSpPr/>
      </xdr:nvSpPr>
      <xdr:spPr>
        <a:xfrm>
          <a:off x="5002315" y="8198556"/>
          <a:ext cx="5123213" cy="3510843"/>
        </a:xfrm>
        <a:prstGeom prst="rect">
          <a:avLst/>
        </a:prstGeom>
        <a:noFill/>
        <a:ln w="19050">
          <a:solidFill>
            <a:schemeClr val="bg2">
              <a:lumMod val="25000"/>
            </a:schemeClr>
          </a:solidFill>
          <a:prstDash val="sysDas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 kern="1200"/>
            <a:t>Linear</a:t>
          </a:r>
        </a:p>
      </xdr:txBody>
    </xdr:sp>
    <xdr:clientData/>
  </xdr:twoCellAnchor>
  <xdr:twoCellAnchor>
    <xdr:from>
      <xdr:col>13</xdr:col>
      <xdr:colOff>281698</xdr:colOff>
      <xdr:row>10</xdr:row>
      <xdr:rowOff>153012</xdr:rowOff>
    </xdr:from>
    <xdr:to>
      <xdr:col>27</xdr:col>
      <xdr:colOff>226166</xdr:colOff>
      <xdr:row>22</xdr:row>
      <xdr:rowOff>61204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0308E6B-503C-9948-97FE-6AFB3F4A3145}"/>
            </a:ext>
          </a:extLst>
        </xdr:cNvPr>
        <xdr:cNvSpPr/>
      </xdr:nvSpPr>
      <xdr:spPr>
        <a:xfrm>
          <a:off x="5069598" y="2185012"/>
          <a:ext cx="5100668" cy="2346592"/>
        </a:xfrm>
        <a:prstGeom prst="rect">
          <a:avLst/>
        </a:prstGeom>
        <a:noFill/>
        <a:ln w="38100">
          <a:solidFill>
            <a:schemeClr val="accent2">
              <a:lumMod val="75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400" b="1" kern="1200"/>
            <a:t>Latent </a:t>
          </a:r>
          <a:r>
            <a:rPr lang="en-US" sz="2400" b="1" kern="1200" baseline="0"/>
            <a:t>QKV</a:t>
          </a:r>
          <a:endParaRPr lang="en-US" sz="2400" b="1" kern="1200"/>
        </a:p>
      </xdr:txBody>
    </xdr:sp>
    <xdr:clientData/>
  </xdr:twoCellAnchor>
  <xdr:twoCellAnchor>
    <xdr:from>
      <xdr:col>7</xdr:col>
      <xdr:colOff>70556</xdr:colOff>
      <xdr:row>22</xdr:row>
      <xdr:rowOff>169706</xdr:rowOff>
    </xdr:from>
    <xdr:to>
      <xdr:col>27</xdr:col>
      <xdr:colOff>229518</xdr:colOff>
      <xdr:row>30</xdr:row>
      <xdr:rowOff>141112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105B3AA-3BDE-B748-A226-4DA720F536D5}"/>
            </a:ext>
          </a:extLst>
        </xdr:cNvPr>
        <xdr:cNvSpPr/>
      </xdr:nvSpPr>
      <xdr:spPr>
        <a:xfrm>
          <a:off x="2648656" y="4640106"/>
          <a:ext cx="7524962" cy="1597006"/>
        </a:xfrm>
        <a:prstGeom prst="rect">
          <a:avLst/>
        </a:prstGeom>
        <a:noFill/>
        <a:ln w="19050">
          <a:solidFill>
            <a:schemeClr val="bg2">
              <a:lumMod val="25000"/>
            </a:schemeClr>
          </a:solidFill>
          <a:prstDash val="sysDas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000" b="1" kern="1200"/>
            <a:t>RoPE (Key)</a:t>
          </a:r>
        </a:p>
        <a:p>
          <a:pPr algn="l"/>
          <a:endParaRPr lang="en-US" sz="2000" b="1" kern="1200"/>
        </a:p>
      </xdr:txBody>
    </xdr:sp>
    <xdr:clientData/>
  </xdr:twoCellAnchor>
  <xdr:twoCellAnchor>
    <xdr:from>
      <xdr:col>9</xdr:col>
      <xdr:colOff>356492</xdr:colOff>
      <xdr:row>63</xdr:row>
      <xdr:rowOff>98778</xdr:rowOff>
    </xdr:from>
    <xdr:to>
      <xdr:col>52</xdr:col>
      <xdr:colOff>158750</xdr:colOff>
      <xdr:row>87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184FDDC-6B4A-114B-A0E8-79EEC54AE314}"/>
            </a:ext>
          </a:extLst>
        </xdr:cNvPr>
        <xdr:cNvSpPr/>
      </xdr:nvSpPr>
      <xdr:spPr>
        <a:xfrm>
          <a:off x="3671192" y="12900378"/>
          <a:ext cx="15639158" cy="4778022"/>
        </a:xfrm>
        <a:prstGeom prst="rect">
          <a:avLst/>
        </a:prstGeom>
        <a:noFill/>
        <a:ln w="38100">
          <a:solidFill>
            <a:schemeClr val="accent6">
              <a:lumMod val="75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800" b="1" kern="1200"/>
            <a:t>Head 2</a:t>
          </a:r>
        </a:p>
      </xdr:txBody>
    </xdr:sp>
    <xdr:clientData/>
  </xdr:twoCellAnchor>
  <xdr:twoCellAnchor>
    <xdr:from>
      <xdr:col>28</xdr:col>
      <xdr:colOff>214415</xdr:colOff>
      <xdr:row>64</xdr:row>
      <xdr:rowOff>14111</xdr:rowOff>
    </xdr:from>
    <xdr:to>
      <xdr:col>51</xdr:col>
      <xdr:colOff>238125</xdr:colOff>
      <xdr:row>86</xdr:row>
      <xdr:rowOff>15875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81BA6392-11FB-954D-B8F2-C840923CC2C9}"/>
            </a:ext>
          </a:extLst>
        </xdr:cNvPr>
        <xdr:cNvSpPr/>
      </xdr:nvSpPr>
      <xdr:spPr>
        <a:xfrm>
          <a:off x="10526815" y="13018911"/>
          <a:ext cx="8494610" cy="4472164"/>
        </a:xfrm>
        <a:prstGeom prst="rect">
          <a:avLst/>
        </a:prstGeom>
        <a:noFill/>
        <a:ln w="19050">
          <a:solidFill>
            <a:srgbClr val="7030A0"/>
          </a:solidFill>
          <a:prstDash val="sysDas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 kern="1200"/>
            <a:t>Scaled Dot-Product</a:t>
          </a:r>
          <a:r>
            <a:rPr lang="en-US" sz="1400" b="1" kern="1200" baseline="0"/>
            <a:t> </a:t>
          </a:r>
          <a:endParaRPr lang="en-US" sz="1400" b="1" kern="1200"/>
        </a:p>
      </xdr:txBody>
    </xdr:sp>
    <xdr:clientData/>
  </xdr:twoCellAnchor>
  <xdr:twoCellAnchor>
    <xdr:from>
      <xdr:col>13</xdr:col>
      <xdr:colOff>214415</xdr:colOff>
      <xdr:row>64</xdr:row>
      <xdr:rowOff>14111</xdr:rowOff>
    </xdr:from>
    <xdr:to>
      <xdr:col>27</xdr:col>
      <xdr:colOff>181428</xdr:colOff>
      <xdr:row>81</xdr:row>
      <xdr:rowOff>127000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FF0C85E0-766D-E844-BD70-B08C03912669}"/>
            </a:ext>
          </a:extLst>
        </xdr:cNvPr>
        <xdr:cNvSpPr/>
      </xdr:nvSpPr>
      <xdr:spPr>
        <a:xfrm>
          <a:off x="5002315" y="13018911"/>
          <a:ext cx="5123213" cy="3567289"/>
        </a:xfrm>
        <a:prstGeom prst="rect">
          <a:avLst/>
        </a:prstGeom>
        <a:noFill/>
        <a:ln w="19050">
          <a:solidFill>
            <a:schemeClr val="bg2">
              <a:lumMod val="25000"/>
            </a:schemeClr>
          </a:solidFill>
          <a:prstDash val="sysDas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 kern="1200"/>
            <a:t>Linear</a:t>
          </a:r>
        </a:p>
      </xdr:txBody>
    </xdr:sp>
    <xdr:clientData/>
  </xdr:twoCellAnchor>
  <xdr:twoCellAnchor>
    <xdr:from>
      <xdr:col>9</xdr:col>
      <xdr:colOff>356492</xdr:colOff>
      <xdr:row>87</xdr:row>
      <xdr:rowOff>126999</xdr:rowOff>
    </xdr:from>
    <xdr:to>
      <xdr:col>52</xdr:col>
      <xdr:colOff>158750</xdr:colOff>
      <xdr:row>110</xdr:row>
      <xdr:rowOff>197554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8D2241C1-81C6-7D49-8429-098D8A3DF0C9}"/>
            </a:ext>
          </a:extLst>
        </xdr:cNvPr>
        <xdr:cNvSpPr/>
      </xdr:nvSpPr>
      <xdr:spPr>
        <a:xfrm>
          <a:off x="3671192" y="17805399"/>
          <a:ext cx="15639158" cy="4744155"/>
        </a:xfrm>
        <a:prstGeom prst="rect">
          <a:avLst/>
        </a:prstGeom>
        <a:noFill/>
        <a:ln w="38100">
          <a:solidFill>
            <a:schemeClr val="accent6">
              <a:lumMod val="75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800" b="1" kern="1200"/>
            <a:t>Head 3</a:t>
          </a:r>
        </a:p>
      </xdr:txBody>
    </xdr:sp>
    <xdr:clientData/>
  </xdr:twoCellAnchor>
  <xdr:twoCellAnchor>
    <xdr:from>
      <xdr:col>28</xdr:col>
      <xdr:colOff>214415</xdr:colOff>
      <xdr:row>88</xdr:row>
      <xdr:rowOff>14111</xdr:rowOff>
    </xdr:from>
    <xdr:to>
      <xdr:col>51</xdr:col>
      <xdr:colOff>238125</xdr:colOff>
      <xdr:row>110</xdr:row>
      <xdr:rowOff>15875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A84665DA-BB69-C943-BFD6-86F091137C88}"/>
            </a:ext>
          </a:extLst>
        </xdr:cNvPr>
        <xdr:cNvSpPr/>
      </xdr:nvSpPr>
      <xdr:spPr>
        <a:xfrm>
          <a:off x="10526815" y="17895711"/>
          <a:ext cx="8494610" cy="4472164"/>
        </a:xfrm>
        <a:prstGeom prst="rect">
          <a:avLst/>
        </a:prstGeom>
        <a:noFill/>
        <a:ln w="19050">
          <a:solidFill>
            <a:srgbClr val="7030A0"/>
          </a:solidFill>
          <a:prstDash val="sysDas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 kern="1200"/>
            <a:t>Scaled Dot-Product</a:t>
          </a:r>
          <a:r>
            <a:rPr lang="en-US" sz="1400" b="1" kern="1200" baseline="0"/>
            <a:t> </a:t>
          </a:r>
          <a:endParaRPr lang="en-US" sz="1400" b="1" kern="1200"/>
        </a:p>
      </xdr:txBody>
    </xdr:sp>
    <xdr:clientData/>
  </xdr:twoCellAnchor>
  <xdr:twoCellAnchor>
    <xdr:from>
      <xdr:col>13</xdr:col>
      <xdr:colOff>214415</xdr:colOff>
      <xdr:row>88</xdr:row>
      <xdr:rowOff>14110</xdr:rowOff>
    </xdr:from>
    <xdr:to>
      <xdr:col>27</xdr:col>
      <xdr:colOff>181428</xdr:colOff>
      <xdr:row>105</xdr:row>
      <xdr:rowOff>126999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6594147B-CBFE-E04E-91F2-234C69DC40E9}"/>
            </a:ext>
          </a:extLst>
        </xdr:cNvPr>
        <xdr:cNvSpPr/>
      </xdr:nvSpPr>
      <xdr:spPr>
        <a:xfrm>
          <a:off x="5002315" y="17895710"/>
          <a:ext cx="5123213" cy="3567289"/>
        </a:xfrm>
        <a:prstGeom prst="rect">
          <a:avLst/>
        </a:prstGeom>
        <a:noFill/>
        <a:ln w="19050">
          <a:solidFill>
            <a:schemeClr val="bg2">
              <a:lumMod val="25000"/>
            </a:schemeClr>
          </a:solidFill>
          <a:prstDash val="sysDas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 kern="1200"/>
            <a:t>Linear</a:t>
          </a:r>
        </a:p>
      </xdr:txBody>
    </xdr:sp>
    <xdr:clientData/>
  </xdr:twoCellAnchor>
  <xdr:twoCellAnchor>
    <xdr:from>
      <xdr:col>7</xdr:col>
      <xdr:colOff>70556</xdr:colOff>
      <xdr:row>31</xdr:row>
      <xdr:rowOff>0</xdr:rowOff>
    </xdr:from>
    <xdr:to>
      <xdr:col>27</xdr:col>
      <xdr:colOff>229518</xdr:colOff>
      <xdr:row>38</xdr:row>
      <xdr:rowOff>141112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2F9A166A-1CCA-F54E-BD2D-BC30A379AB28}"/>
            </a:ext>
          </a:extLst>
        </xdr:cNvPr>
        <xdr:cNvSpPr/>
      </xdr:nvSpPr>
      <xdr:spPr>
        <a:xfrm>
          <a:off x="2648656" y="6299200"/>
          <a:ext cx="7524962" cy="1563512"/>
        </a:xfrm>
        <a:prstGeom prst="rect">
          <a:avLst/>
        </a:prstGeom>
        <a:noFill/>
        <a:ln w="19050">
          <a:solidFill>
            <a:schemeClr val="bg2">
              <a:lumMod val="25000"/>
            </a:schemeClr>
          </a:solidFill>
          <a:prstDash val="sysDas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000" b="1" kern="1200"/>
            <a:t>RoPE (Query)</a:t>
          </a:r>
        </a:p>
        <a:p>
          <a:pPr algn="l"/>
          <a:endParaRPr lang="en-US" sz="2000" b="1" kern="1200"/>
        </a:p>
      </xdr:txBody>
    </xdr:sp>
    <xdr:clientData/>
  </xdr:twoCellAnchor>
  <xdr:twoCellAnchor>
    <xdr:from>
      <xdr:col>11</xdr:col>
      <xdr:colOff>136071</xdr:colOff>
      <xdr:row>151</xdr:row>
      <xdr:rowOff>25401</xdr:rowOff>
    </xdr:from>
    <xdr:to>
      <xdr:col>27</xdr:col>
      <xdr:colOff>336177</xdr:colOff>
      <xdr:row>192</xdr:row>
      <xdr:rowOff>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A8651B59-AB16-DC44-9D07-CFBBC9A84421}"/>
            </a:ext>
          </a:extLst>
        </xdr:cNvPr>
        <xdr:cNvSpPr/>
      </xdr:nvSpPr>
      <xdr:spPr>
        <a:xfrm>
          <a:off x="4187371" y="30708601"/>
          <a:ext cx="6092906" cy="8445500"/>
        </a:xfrm>
        <a:prstGeom prst="rect">
          <a:avLst/>
        </a:prstGeom>
        <a:noFill/>
        <a:ln w="38100">
          <a:solidFill>
            <a:schemeClr val="accent6">
              <a:lumMod val="75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800" b="1" kern="1200"/>
            <a:t>Expert</a:t>
          </a:r>
        </a:p>
      </xdr:txBody>
    </xdr:sp>
    <xdr:clientData/>
  </xdr:twoCellAnchor>
  <xdr:twoCellAnchor>
    <xdr:from>
      <xdr:col>28</xdr:col>
      <xdr:colOff>127001</xdr:colOff>
      <xdr:row>151</xdr:row>
      <xdr:rowOff>25400</xdr:rowOff>
    </xdr:from>
    <xdr:to>
      <xdr:col>44</xdr:col>
      <xdr:colOff>302382</xdr:colOff>
      <xdr:row>192</xdr:row>
      <xdr:rowOff>18405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99B80887-3F55-C645-8023-47BFC0B79AE8}"/>
            </a:ext>
          </a:extLst>
        </xdr:cNvPr>
        <xdr:cNvSpPr/>
      </xdr:nvSpPr>
      <xdr:spPr>
        <a:xfrm>
          <a:off x="10439401" y="30708600"/>
          <a:ext cx="6068181" cy="8463905"/>
        </a:xfrm>
        <a:prstGeom prst="rect">
          <a:avLst/>
        </a:prstGeom>
        <a:noFill/>
        <a:ln w="38100">
          <a:solidFill>
            <a:schemeClr val="accent6">
              <a:lumMod val="75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800" b="1" kern="1200"/>
            <a:t>Expert</a:t>
          </a:r>
        </a:p>
      </xdr:txBody>
    </xdr:sp>
    <xdr:clientData/>
  </xdr:twoCellAnchor>
  <xdr:twoCellAnchor>
    <xdr:from>
      <xdr:col>45</xdr:col>
      <xdr:colOff>120952</xdr:colOff>
      <xdr:row>151</xdr:row>
      <xdr:rowOff>25401</xdr:rowOff>
    </xdr:from>
    <xdr:to>
      <xdr:col>61</xdr:col>
      <xdr:colOff>257025</xdr:colOff>
      <xdr:row>191</xdr:row>
      <xdr:rowOff>194367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D2C08AE3-0AFF-5249-8C26-31199D32C95E}"/>
            </a:ext>
          </a:extLst>
        </xdr:cNvPr>
        <xdr:cNvSpPr/>
      </xdr:nvSpPr>
      <xdr:spPr>
        <a:xfrm>
          <a:off x="16694452" y="30708601"/>
          <a:ext cx="6028873" cy="8436666"/>
        </a:xfrm>
        <a:prstGeom prst="rect">
          <a:avLst/>
        </a:prstGeom>
        <a:noFill/>
        <a:ln w="38100">
          <a:solidFill>
            <a:schemeClr val="accent6">
              <a:lumMod val="75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800" b="1" kern="1200"/>
            <a:t>Expert</a:t>
          </a:r>
        </a:p>
      </xdr:txBody>
    </xdr:sp>
    <xdr:clientData/>
  </xdr:twoCellAnchor>
  <xdr:twoCellAnchor>
    <xdr:from>
      <xdr:col>62</xdr:col>
      <xdr:colOff>120953</xdr:colOff>
      <xdr:row>151</xdr:row>
      <xdr:rowOff>25400</xdr:rowOff>
    </xdr:from>
    <xdr:to>
      <xdr:col>79</xdr:col>
      <xdr:colOff>75552</xdr:colOff>
      <xdr:row>192</xdr:row>
      <xdr:rowOff>2971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20B4B220-7B65-814C-ABFA-AB57B7A07468}"/>
            </a:ext>
          </a:extLst>
        </xdr:cNvPr>
        <xdr:cNvSpPr/>
      </xdr:nvSpPr>
      <xdr:spPr>
        <a:xfrm>
          <a:off x="22955553" y="30708600"/>
          <a:ext cx="6215699" cy="8448471"/>
        </a:xfrm>
        <a:prstGeom prst="rect">
          <a:avLst/>
        </a:prstGeom>
        <a:noFill/>
        <a:ln w="38100">
          <a:solidFill>
            <a:schemeClr val="accent6">
              <a:lumMod val="75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800" b="1" kern="1200"/>
            <a:t>Expert</a:t>
          </a:r>
        </a:p>
      </xdr:txBody>
    </xdr:sp>
    <xdr:clientData/>
  </xdr:twoCellAnchor>
  <xdr:twoCellAnchor>
    <xdr:from>
      <xdr:col>15</xdr:col>
      <xdr:colOff>151191</xdr:colOff>
      <xdr:row>193</xdr:row>
      <xdr:rowOff>88742</xdr:rowOff>
    </xdr:from>
    <xdr:to>
      <xdr:col>27</xdr:col>
      <xdr:colOff>184060</xdr:colOff>
      <xdr:row>199</xdr:row>
      <xdr:rowOff>180771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FD394E0F-E189-1842-8905-69945B90EC72}"/>
            </a:ext>
          </a:extLst>
        </xdr:cNvPr>
        <xdr:cNvSpPr/>
      </xdr:nvSpPr>
      <xdr:spPr>
        <a:xfrm>
          <a:off x="5675691" y="39446042"/>
          <a:ext cx="4452469" cy="1311229"/>
        </a:xfrm>
        <a:prstGeom prst="rect">
          <a:avLst/>
        </a:prstGeom>
        <a:noFill/>
        <a:ln w="38100">
          <a:solidFill>
            <a:schemeClr val="accent4">
              <a:lumMod val="75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4000" b="1" kern="1200"/>
            <a:t>Mixture</a:t>
          </a:r>
        </a:p>
      </xdr:txBody>
    </xdr:sp>
    <xdr:clientData/>
  </xdr:twoCellAnchor>
  <xdr:oneCellAnchor>
    <xdr:from>
      <xdr:col>18</xdr:col>
      <xdr:colOff>30238</xdr:colOff>
      <xdr:row>138</xdr:row>
      <xdr:rowOff>90057</xdr:rowOff>
    </xdr:from>
    <xdr:ext cx="787973" cy="405432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18016DA3-B635-5D45-98E5-F0E169674211}"/>
            </a:ext>
          </a:extLst>
        </xdr:cNvPr>
        <xdr:cNvSpPr txBox="1"/>
      </xdr:nvSpPr>
      <xdr:spPr>
        <a:xfrm>
          <a:off x="6659638" y="28131657"/>
          <a:ext cx="787973" cy="405432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 b="1" kern="1200"/>
            <a:t>Input</a:t>
          </a:r>
          <a:r>
            <a:rPr lang="en-US" sz="2000" b="1" kern="1200" baseline="0"/>
            <a:t> </a:t>
          </a:r>
          <a:endParaRPr lang="en-US" sz="2000" b="1" kern="1200"/>
        </a:p>
      </xdr:txBody>
    </xdr:sp>
    <xdr:clientData/>
  </xdr:oneCellAnchor>
  <xdr:twoCellAnchor>
    <xdr:from>
      <xdr:col>11</xdr:col>
      <xdr:colOff>120952</xdr:colOff>
      <xdr:row>143</xdr:row>
      <xdr:rowOff>92030</xdr:rowOff>
    </xdr:from>
    <xdr:to>
      <xdr:col>51</xdr:col>
      <xdr:colOff>46182</xdr:colOff>
      <xdr:row>150</xdr:row>
      <xdr:rowOff>90715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94C21FE4-B0E5-5D4D-B3EF-8D379ED5B035}"/>
            </a:ext>
          </a:extLst>
        </xdr:cNvPr>
        <xdr:cNvSpPr/>
      </xdr:nvSpPr>
      <xdr:spPr>
        <a:xfrm>
          <a:off x="4172252" y="29149630"/>
          <a:ext cx="14657230" cy="1421085"/>
        </a:xfrm>
        <a:prstGeom prst="rect">
          <a:avLst/>
        </a:prstGeom>
        <a:noFill/>
        <a:ln w="38100">
          <a:solidFill>
            <a:schemeClr val="bg2">
              <a:lumMod val="5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800" b="1" kern="1200"/>
            <a:t>Router</a:t>
          </a:r>
        </a:p>
      </xdr:txBody>
    </xdr:sp>
    <xdr:clientData/>
  </xdr:twoCellAnchor>
  <xdr:oneCellAnchor>
    <xdr:from>
      <xdr:col>28</xdr:col>
      <xdr:colOff>8257</xdr:colOff>
      <xdr:row>195</xdr:row>
      <xdr:rowOff>126604</xdr:rowOff>
    </xdr:from>
    <xdr:ext cx="968663" cy="405432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55A206C9-E94D-A143-A8F4-5C26CD91B5FB}"/>
            </a:ext>
          </a:extLst>
        </xdr:cNvPr>
        <xdr:cNvSpPr txBox="1"/>
      </xdr:nvSpPr>
      <xdr:spPr>
        <a:xfrm>
          <a:off x="10320657" y="39890304"/>
          <a:ext cx="968663" cy="405432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 b="1" kern="1200"/>
            <a:t>Output</a:t>
          </a:r>
          <a:r>
            <a:rPr lang="en-US" sz="2000" b="1" kern="1200" baseline="0"/>
            <a:t> </a:t>
          </a:r>
          <a:endParaRPr lang="en-US" sz="2000" b="1" kern="1200"/>
        </a:p>
      </xdr:txBody>
    </xdr:sp>
    <xdr:clientData/>
  </xdr:oneCellAnchor>
  <xdr:twoCellAnchor>
    <xdr:from>
      <xdr:col>11</xdr:col>
      <xdr:colOff>46182</xdr:colOff>
      <xdr:row>135</xdr:row>
      <xdr:rowOff>141110</xdr:rowOff>
    </xdr:from>
    <xdr:to>
      <xdr:col>79</xdr:col>
      <xdr:colOff>230909</xdr:colOff>
      <xdr:row>200</xdr:row>
      <xdr:rowOff>161635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A2DF269F-3A25-094C-8B2A-23871EF2421B}"/>
            </a:ext>
          </a:extLst>
        </xdr:cNvPr>
        <xdr:cNvSpPr/>
      </xdr:nvSpPr>
      <xdr:spPr>
        <a:xfrm>
          <a:off x="4097482" y="27573110"/>
          <a:ext cx="25229127" cy="1336822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5400" b="1" kern="1200"/>
            <a:t>Mixture</a:t>
          </a:r>
          <a:r>
            <a:rPr lang="en-US" sz="5400" b="1" kern="1200" baseline="0"/>
            <a:t> of Experts</a:t>
          </a:r>
          <a:endParaRPr lang="en-US" sz="5400" b="1" kern="1200"/>
        </a:p>
      </xdr:txBody>
    </xdr:sp>
    <xdr:clientData/>
  </xdr:twoCellAnchor>
  <xdr:twoCellAnchor>
    <xdr:from>
      <xdr:col>28</xdr:col>
      <xdr:colOff>0</xdr:colOff>
      <xdr:row>29</xdr:row>
      <xdr:rowOff>29766</xdr:rowOff>
    </xdr:from>
    <xdr:to>
      <xdr:col>30</xdr:col>
      <xdr:colOff>297656</xdr:colOff>
      <xdr:row>48</xdr:row>
      <xdr:rowOff>59531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5AF391F3-7C9D-12F3-3D40-3F28B724C585}"/>
            </a:ext>
          </a:extLst>
        </xdr:cNvPr>
        <xdr:cNvCxnSpPr/>
      </xdr:nvCxnSpPr>
      <xdr:spPr>
        <a:xfrm>
          <a:off x="11147227" y="5640586"/>
          <a:ext cx="1220390" cy="37058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357188</xdr:colOff>
      <xdr:row>37</xdr:row>
      <xdr:rowOff>14883</xdr:rowOff>
    </xdr:from>
    <xdr:to>
      <xdr:col>36</xdr:col>
      <xdr:colOff>0</xdr:colOff>
      <xdr:row>40</xdr:row>
      <xdr:rowOff>104179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5421E248-983C-EA85-DBFD-39F91DEE4FDB}"/>
            </a:ext>
          </a:extLst>
        </xdr:cNvPr>
        <xdr:cNvCxnSpPr/>
      </xdr:nvCxnSpPr>
      <xdr:spPr>
        <a:xfrm>
          <a:off x="11132344" y="7173516"/>
          <a:ext cx="3571875" cy="66972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54</xdr:col>
      <xdr:colOff>14883</xdr:colOff>
      <xdr:row>42</xdr:row>
      <xdr:rowOff>148828</xdr:rowOff>
    </xdr:from>
    <xdr:to>
      <xdr:col>57</xdr:col>
      <xdr:colOff>309943</xdr:colOff>
      <xdr:row>46</xdr:row>
      <xdr:rowOff>136827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B58C6DC-7948-0703-EACA-A45376223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20039" y="8274844"/>
          <a:ext cx="1723810" cy="76190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365coloradoedu-my.sharepoint.com/personal/peye9704_colorado_edu/Documents/2024/AIbyHand/spreadsheets/github/ai-by-hand-excel/basic/LeakyReLU.xlsx" TargetMode="External"/><Relationship Id="rId1" Type="http://schemas.openxmlformats.org/officeDocument/2006/relationships/externalLinkPath" Target="https://o365coloradoedu-my.sharepoint.com/personal/peye9704_colorado_edu/Documents/2024/AIbyHand/spreadsheets/github/ai-by-hand-excel/basic/LeakyReL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LU vs. LeakyReLU"/>
      <sheetName val="LICENSE"/>
    </sheetNames>
    <sheetDataSet>
      <sheetData sheetId="0">
        <row r="5">
          <cell r="H5">
            <v>0.5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387FE-B17F-9341-90EC-DE4A4E6B1976}">
  <dimension ref="C1:BZ199"/>
  <sheetViews>
    <sheetView tabSelected="1" zoomScale="64" zoomScaleNormal="64" workbookViewId="0">
      <selection activeCell="AM11" sqref="AM11"/>
    </sheetView>
  </sheetViews>
  <sheetFormatPr defaultColWidth="4.875" defaultRowHeight="15.75"/>
  <cols>
    <col min="21" max="21" width="5.875" customWidth="1"/>
    <col min="22" max="22" width="8.5" bestFit="1" customWidth="1"/>
    <col min="23" max="27" width="5.875" bestFit="1" customWidth="1"/>
    <col min="29" max="35" width="6" customWidth="1"/>
    <col min="36" max="36" width="5.5" customWidth="1"/>
    <col min="38" max="38" width="9" customWidth="1"/>
    <col min="39" max="43" width="7.5" bestFit="1" customWidth="1"/>
    <col min="44" max="45" width="5.875" customWidth="1"/>
    <col min="46" max="51" width="6.625" customWidth="1"/>
    <col min="55" max="66" width="6.25" customWidth="1"/>
    <col min="69" max="69" width="12.125" customWidth="1"/>
    <col min="70" max="74" width="12.5" customWidth="1"/>
  </cols>
  <sheetData>
    <row r="1" spans="3:50" ht="30">
      <c r="C1" t="s">
        <v>85</v>
      </c>
      <c r="D1" s="32"/>
      <c r="E1" s="32"/>
      <c r="F1" s="32"/>
      <c r="G1" s="32"/>
      <c r="M1" s="108" t="s">
        <v>86</v>
      </c>
      <c r="W1" s="110" t="s">
        <v>87</v>
      </c>
      <c r="AD1" t="s">
        <v>88</v>
      </c>
    </row>
    <row r="2" spans="3:50">
      <c r="M2" s="109"/>
    </row>
    <row r="3" spans="3:50" ht="17.25">
      <c r="M3" s="110"/>
    </row>
    <row r="4" spans="3:50">
      <c r="U4" s="11" t="s">
        <v>0</v>
      </c>
      <c r="V4" s="35">
        <v>1</v>
      </c>
      <c r="W4" s="35">
        <v>2</v>
      </c>
      <c r="X4" s="35">
        <v>3</v>
      </c>
      <c r="Y4" s="35">
        <v>4</v>
      </c>
      <c r="Z4" s="35">
        <v>5</v>
      </c>
      <c r="AA4" s="35">
        <v>6</v>
      </c>
      <c r="AI4" t="s">
        <v>70</v>
      </c>
    </row>
    <row r="5" spans="3:50">
      <c r="V5" s="1">
        <v>3</v>
      </c>
      <c r="W5" s="2">
        <v>3</v>
      </c>
      <c r="X5" s="2">
        <v>0</v>
      </c>
      <c r="Y5" s="2">
        <v>3</v>
      </c>
      <c r="Z5" s="2">
        <v>0</v>
      </c>
      <c r="AA5" s="3">
        <v>2</v>
      </c>
      <c r="AD5" t="s">
        <v>63</v>
      </c>
      <c r="AG5">
        <v>5</v>
      </c>
      <c r="AI5">
        <v>7168</v>
      </c>
    </row>
    <row r="6" spans="3:50">
      <c r="V6" s="4">
        <v>2</v>
      </c>
      <c r="W6" s="5">
        <v>0</v>
      </c>
      <c r="X6" s="5">
        <v>3</v>
      </c>
      <c r="Y6" s="5">
        <v>2</v>
      </c>
      <c r="Z6" s="5">
        <v>3</v>
      </c>
      <c r="AA6" s="6">
        <v>1</v>
      </c>
      <c r="AD6" t="s">
        <v>64</v>
      </c>
      <c r="AG6">
        <v>6</v>
      </c>
    </row>
    <row r="7" spans="3:50">
      <c r="U7" s="7"/>
      <c r="V7" s="4">
        <v>1</v>
      </c>
      <c r="W7" s="5">
        <v>0</v>
      </c>
      <c r="X7" s="5">
        <v>1</v>
      </c>
      <c r="Y7" s="5">
        <v>1</v>
      </c>
      <c r="Z7" s="5">
        <v>1</v>
      </c>
      <c r="AA7" s="6">
        <v>3</v>
      </c>
      <c r="AD7" t="s">
        <v>65</v>
      </c>
      <c r="AG7">
        <v>3</v>
      </c>
      <c r="AI7">
        <v>128</v>
      </c>
    </row>
    <row r="8" spans="3:50">
      <c r="U8" s="7"/>
      <c r="V8" s="4">
        <v>3</v>
      </c>
      <c r="W8" s="5">
        <v>1</v>
      </c>
      <c r="X8" s="5">
        <v>2</v>
      </c>
      <c r="Y8" s="5">
        <v>3</v>
      </c>
      <c r="Z8" s="5">
        <v>1</v>
      </c>
      <c r="AA8" s="6">
        <v>1</v>
      </c>
      <c r="AB8" s="7"/>
      <c r="AD8" t="s">
        <v>66</v>
      </c>
      <c r="AG8">
        <v>4</v>
      </c>
      <c r="AI8">
        <v>128</v>
      </c>
    </row>
    <row r="9" spans="3:50">
      <c r="T9" s="7"/>
      <c r="U9" s="7"/>
      <c r="V9" s="8">
        <v>2</v>
      </c>
      <c r="W9" s="9">
        <v>3</v>
      </c>
      <c r="X9" s="9">
        <v>2</v>
      </c>
      <c r="Y9" s="9">
        <v>2</v>
      </c>
      <c r="Z9" s="9">
        <v>1</v>
      </c>
      <c r="AA9" s="10">
        <v>2</v>
      </c>
      <c r="AB9" s="7"/>
    </row>
    <row r="10" spans="3:50"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V10" s="11" t="s">
        <v>1</v>
      </c>
      <c r="W10" s="11" t="s">
        <v>1</v>
      </c>
      <c r="X10" s="11" t="s">
        <v>1</v>
      </c>
      <c r="Y10" s="11" t="s">
        <v>1</v>
      </c>
      <c r="Z10" s="11" t="s">
        <v>1</v>
      </c>
      <c r="AA10" s="11" t="s">
        <v>1</v>
      </c>
      <c r="AB10" s="7"/>
      <c r="AC10" s="7"/>
      <c r="AD10" s="7"/>
      <c r="AE10" s="7"/>
      <c r="AF10" s="7"/>
      <c r="AG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3:50"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V11" s="11"/>
      <c r="W11" s="11"/>
      <c r="X11" s="11"/>
      <c r="Y11" s="11"/>
      <c r="Z11" s="11"/>
      <c r="AA11" s="11"/>
      <c r="AB11" s="7"/>
      <c r="AC11" s="7"/>
      <c r="AD11" s="7"/>
      <c r="AE11" s="7"/>
      <c r="AF11" s="7"/>
      <c r="AG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3:50"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V12" s="11"/>
      <c r="W12" s="11"/>
      <c r="X12" s="11"/>
      <c r="Y12" s="11"/>
      <c r="Z12" s="11"/>
      <c r="AA12" s="11"/>
      <c r="AB12" s="7"/>
      <c r="AC12" s="7"/>
      <c r="AD12" s="7"/>
      <c r="AE12" s="7"/>
      <c r="AF12" s="7"/>
      <c r="AG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3:50"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V13" s="11"/>
      <c r="W13" s="11"/>
      <c r="X13" s="11"/>
      <c r="Y13" s="11"/>
      <c r="Z13" s="11"/>
      <c r="AA13" s="11"/>
      <c r="AB13" s="7"/>
      <c r="AC13" s="7"/>
      <c r="AD13" s="54" t="s">
        <v>71</v>
      </c>
      <c r="AE13" s="7"/>
      <c r="AF13" s="7"/>
      <c r="AG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3:50">
      <c r="H14" s="7"/>
      <c r="I14" s="7"/>
      <c r="J14" s="7"/>
      <c r="K14" s="7"/>
      <c r="L14" s="7"/>
      <c r="M14" s="7"/>
      <c r="N14" s="7"/>
      <c r="O14" s="7"/>
      <c r="P14" s="7" t="s">
        <v>17</v>
      </c>
      <c r="Q14" s="7"/>
      <c r="R14" s="7"/>
      <c r="S14" s="7"/>
      <c r="V14" s="11" t="s">
        <v>13</v>
      </c>
      <c r="W14" s="11"/>
      <c r="X14" s="11"/>
      <c r="Y14" s="11"/>
      <c r="Z14" s="11"/>
      <c r="AA14" s="11"/>
      <c r="AB14" s="7"/>
      <c r="AC14" s="7"/>
      <c r="AD14" s="7"/>
      <c r="AE14" s="7"/>
      <c r="AF14" s="7"/>
      <c r="AG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3:50">
      <c r="H15" s="7"/>
      <c r="I15" s="7"/>
      <c r="J15" s="7"/>
      <c r="K15" s="7"/>
      <c r="L15" s="7"/>
      <c r="M15" s="7"/>
      <c r="N15" s="7"/>
      <c r="O15" s="7"/>
      <c r="P15" s="12">
        <v>1</v>
      </c>
      <c r="Q15" s="12">
        <v>-1</v>
      </c>
      <c r="R15" s="12">
        <v>1</v>
      </c>
      <c r="S15" s="12">
        <v>0</v>
      </c>
      <c r="T15" s="12">
        <v>1</v>
      </c>
      <c r="V15" s="37" cm="1">
        <f t="array" ref="V15:AA17">MMULT(P15:T17,V5:AA9)</f>
        <v>4</v>
      </c>
      <c r="W15" s="37">
        <v>6</v>
      </c>
      <c r="X15" s="37">
        <v>0</v>
      </c>
      <c r="Y15" s="37">
        <v>4</v>
      </c>
      <c r="Z15" s="37">
        <v>-1</v>
      </c>
      <c r="AA15" s="37">
        <v>6</v>
      </c>
      <c r="AB15" s="7"/>
      <c r="AC15" s="7"/>
      <c r="AD15" s="54" t="s">
        <v>72</v>
      </c>
      <c r="AE15" s="7"/>
      <c r="AF15" s="7"/>
      <c r="AG15" s="7">
        <v>3</v>
      </c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3:50">
      <c r="H16" s="7"/>
      <c r="I16" s="7"/>
      <c r="J16" s="7"/>
      <c r="K16" s="7"/>
      <c r="L16" s="7"/>
      <c r="M16" s="7"/>
      <c r="N16" s="7"/>
      <c r="O16" s="7"/>
      <c r="P16" s="12">
        <v>0</v>
      </c>
      <c r="Q16" s="12">
        <v>0</v>
      </c>
      <c r="R16" s="12">
        <v>-1</v>
      </c>
      <c r="S16" s="12">
        <v>1</v>
      </c>
      <c r="T16" s="12">
        <v>0</v>
      </c>
      <c r="V16" s="38">
        <v>2</v>
      </c>
      <c r="W16" s="38">
        <v>1</v>
      </c>
      <c r="X16" s="38">
        <v>1</v>
      </c>
      <c r="Y16" s="38">
        <v>2</v>
      </c>
      <c r="Z16" s="38">
        <v>0</v>
      </c>
      <c r="AA16" s="38">
        <v>-2</v>
      </c>
      <c r="AB16" s="7"/>
      <c r="AC16" s="7"/>
      <c r="AD16" s="54" t="s">
        <v>73</v>
      </c>
      <c r="AE16" s="7"/>
      <c r="AF16" s="7"/>
      <c r="AG16" s="7">
        <v>2</v>
      </c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7:50">
      <c r="H17" s="7"/>
      <c r="I17" s="7"/>
      <c r="J17" s="7"/>
      <c r="K17" s="7"/>
      <c r="L17" s="7"/>
      <c r="M17" s="7"/>
      <c r="N17" s="7"/>
      <c r="O17" s="7"/>
      <c r="P17" s="12">
        <v>1</v>
      </c>
      <c r="Q17" s="12">
        <v>0</v>
      </c>
      <c r="R17" s="12">
        <v>-1</v>
      </c>
      <c r="S17" s="12">
        <v>0</v>
      </c>
      <c r="T17" s="12">
        <v>1</v>
      </c>
      <c r="V17" s="39">
        <v>4</v>
      </c>
      <c r="W17" s="39">
        <v>6</v>
      </c>
      <c r="X17" s="39">
        <v>1</v>
      </c>
      <c r="Y17" s="39">
        <v>4</v>
      </c>
      <c r="Z17" s="39">
        <v>0</v>
      </c>
      <c r="AA17" s="39">
        <v>1</v>
      </c>
      <c r="AB17" s="7"/>
      <c r="AC17" s="7"/>
      <c r="AD17" s="7"/>
      <c r="AE17" s="7"/>
      <c r="AF17" s="7"/>
      <c r="AG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7:50">
      <c r="H18" s="7"/>
      <c r="I18" s="7"/>
      <c r="J18" s="7"/>
      <c r="K18" s="7"/>
      <c r="L18" s="7"/>
      <c r="M18" s="7"/>
      <c r="N18" s="7"/>
      <c r="O18" s="7"/>
      <c r="AB18" s="7"/>
      <c r="AC18" s="7"/>
      <c r="AD18" s="7"/>
      <c r="AE18" s="7"/>
      <c r="AF18" s="7"/>
      <c r="AG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7:50">
      <c r="H19" s="7"/>
      <c r="I19" s="7"/>
      <c r="J19" s="7"/>
      <c r="K19" s="7"/>
      <c r="L19" s="7"/>
      <c r="M19" s="7"/>
      <c r="N19" s="7"/>
      <c r="O19" s="7"/>
      <c r="P19" s="7" t="s">
        <v>15</v>
      </c>
      <c r="Q19" s="7"/>
      <c r="R19" s="7"/>
      <c r="S19" s="7"/>
      <c r="V19" s="11" t="s">
        <v>12</v>
      </c>
      <c r="X19" s="11"/>
      <c r="Y19" s="11"/>
      <c r="Z19" s="11"/>
      <c r="AA19" s="11"/>
      <c r="AB19" s="7"/>
      <c r="AC19" s="7"/>
      <c r="AD19" s="7"/>
      <c r="AE19" s="7"/>
      <c r="AF19" s="7"/>
      <c r="AG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7:50">
      <c r="G20" s="7"/>
      <c r="H20" s="7"/>
      <c r="I20" s="7"/>
      <c r="J20" s="7"/>
      <c r="K20" s="7"/>
      <c r="L20" s="7"/>
      <c r="M20" s="7"/>
      <c r="N20" s="7"/>
      <c r="O20" s="7"/>
      <c r="P20" s="12">
        <v>1</v>
      </c>
      <c r="Q20" s="12">
        <v>-1</v>
      </c>
      <c r="R20" s="12">
        <v>1</v>
      </c>
      <c r="S20" s="12">
        <v>0</v>
      </c>
      <c r="T20" s="12">
        <v>0</v>
      </c>
      <c r="V20" s="37" cm="1">
        <f t="array" ref="V20:AA21">MMULT(P20:T21,V5:AA9)</f>
        <v>2</v>
      </c>
      <c r="W20" s="37">
        <v>3</v>
      </c>
      <c r="X20" s="37">
        <v>-2</v>
      </c>
      <c r="Y20" s="37">
        <v>2</v>
      </c>
      <c r="Z20" s="37">
        <v>-2</v>
      </c>
      <c r="AA20" s="37">
        <v>4</v>
      </c>
      <c r="AB20" s="7"/>
      <c r="AC20" s="7"/>
      <c r="AD20" s="7"/>
      <c r="AE20" s="7"/>
      <c r="AF20" s="7"/>
      <c r="AG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7:50">
      <c r="H21" s="7"/>
      <c r="I21" s="7"/>
      <c r="J21" s="7"/>
      <c r="K21" s="7"/>
      <c r="L21" s="7"/>
      <c r="M21" s="7"/>
      <c r="N21" s="7"/>
      <c r="P21" s="12">
        <v>0</v>
      </c>
      <c r="Q21" s="12">
        <v>0</v>
      </c>
      <c r="R21" s="12">
        <v>-1</v>
      </c>
      <c r="S21" s="12">
        <v>0</v>
      </c>
      <c r="T21" s="12">
        <v>0</v>
      </c>
      <c r="V21" s="39">
        <v>-1</v>
      </c>
      <c r="W21" s="39">
        <v>0</v>
      </c>
      <c r="X21" s="39">
        <v>-1</v>
      </c>
      <c r="Y21" s="39">
        <v>-1</v>
      </c>
      <c r="Z21" s="39">
        <v>-1</v>
      </c>
      <c r="AA21" s="39">
        <v>-3</v>
      </c>
      <c r="AB21" s="7"/>
      <c r="AC21" s="7"/>
      <c r="AD21" s="7"/>
      <c r="AE21" s="7"/>
      <c r="AF21" s="7"/>
      <c r="AG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7:50">
      <c r="H22" s="7"/>
      <c r="I22" s="7"/>
      <c r="J22" s="7"/>
      <c r="K22" s="7"/>
      <c r="L22" s="7"/>
      <c r="M22" s="7"/>
      <c r="N22" s="7"/>
      <c r="O22" s="7"/>
      <c r="V22" s="11"/>
      <c r="W22" s="11"/>
      <c r="X22" s="11"/>
      <c r="Y22" s="11"/>
      <c r="Z22" s="11"/>
      <c r="AA22" s="11"/>
      <c r="AB22" s="7"/>
      <c r="AC22" s="7"/>
      <c r="AD22" s="7"/>
      <c r="AE22" s="7"/>
      <c r="AF22" s="7"/>
      <c r="AG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7:50">
      <c r="H23" s="7"/>
      <c r="I23" s="7"/>
      <c r="J23" s="7"/>
      <c r="K23" s="7"/>
      <c r="L23" s="7"/>
      <c r="M23" s="7"/>
      <c r="N23" s="7"/>
      <c r="O23" s="7"/>
      <c r="V23" s="11"/>
      <c r="W23" s="11"/>
      <c r="X23" s="11"/>
      <c r="Y23" s="11"/>
      <c r="Z23" s="11"/>
      <c r="AA23" s="11"/>
      <c r="AB23" s="7"/>
      <c r="AC23" s="7"/>
      <c r="AD23" s="7"/>
      <c r="AE23" s="7"/>
      <c r="AF23" s="7"/>
      <c r="AG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7:50">
      <c r="H24" s="7"/>
      <c r="I24" s="7"/>
      <c r="J24" s="7"/>
      <c r="K24" s="7"/>
      <c r="L24" s="7"/>
      <c r="M24" s="7"/>
      <c r="N24" s="7"/>
      <c r="O24" s="7"/>
      <c r="P24" t="s">
        <v>14</v>
      </c>
      <c r="W24" s="11"/>
      <c r="X24" s="11"/>
      <c r="Y24" s="11"/>
      <c r="Z24" s="11"/>
      <c r="AA24" s="11"/>
      <c r="AB24" s="7"/>
      <c r="AC24" s="54" t="s">
        <v>77</v>
      </c>
      <c r="AD24" s="7"/>
      <c r="AE24" s="7"/>
      <c r="AF24" s="7"/>
      <c r="AG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7:50">
      <c r="H25" s="7"/>
      <c r="I25" s="7"/>
      <c r="J25" s="7"/>
      <c r="K25" s="7"/>
      <c r="L25" s="7"/>
      <c r="M25" s="7"/>
      <c r="N25" s="7"/>
      <c r="O25" s="7"/>
      <c r="P25" s="12">
        <v>1</v>
      </c>
      <c r="Q25" s="12">
        <v>-1</v>
      </c>
      <c r="R25" s="12">
        <v>1</v>
      </c>
      <c r="S25" s="12">
        <v>1</v>
      </c>
      <c r="T25" s="12">
        <v>0</v>
      </c>
      <c r="V25" s="13" cm="1">
        <f t="array" ref="V25:AA26">MMULT(P25:T26,V5:AA9)</f>
        <v>5</v>
      </c>
      <c r="W25" s="13">
        <v>4</v>
      </c>
      <c r="X25" s="13">
        <v>0</v>
      </c>
      <c r="Y25" s="13">
        <v>5</v>
      </c>
      <c r="Z25" s="13">
        <v>-1</v>
      </c>
      <c r="AA25" s="13">
        <v>5</v>
      </c>
      <c r="AB25" s="7"/>
      <c r="AC25" s="7"/>
      <c r="AD25" s="7"/>
      <c r="AE25" s="7"/>
      <c r="AF25" s="7"/>
      <c r="AG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7:50">
      <c r="H26" s="7"/>
      <c r="I26" s="7"/>
      <c r="J26" s="7"/>
      <c r="K26" s="7"/>
      <c r="L26" s="7"/>
      <c r="M26" s="7"/>
      <c r="N26" s="7"/>
      <c r="O26" s="7"/>
      <c r="P26" s="12">
        <v>0</v>
      </c>
      <c r="Q26" s="12">
        <v>0</v>
      </c>
      <c r="R26" s="12">
        <v>-1</v>
      </c>
      <c r="S26" s="12">
        <v>0</v>
      </c>
      <c r="T26" s="12">
        <v>1</v>
      </c>
      <c r="V26" s="26">
        <v>1</v>
      </c>
      <c r="W26" s="26">
        <v>3</v>
      </c>
      <c r="X26" s="26">
        <v>1</v>
      </c>
      <c r="Y26" s="26">
        <v>1</v>
      </c>
      <c r="Z26" s="26">
        <v>0</v>
      </c>
      <c r="AA26" s="26">
        <v>-1</v>
      </c>
      <c r="AB26" s="7"/>
      <c r="AC26" s="7"/>
      <c r="AD26" s="7"/>
      <c r="AE26" s="7"/>
      <c r="AF26" s="7"/>
      <c r="AG26" s="7"/>
      <c r="AJ26" s="7"/>
      <c r="AK26" s="7"/>
      <c r="AL26" s="7" t="s">
        <v>82</v>
      </c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7:50">
      <c r="H27" s="7"/>
      <c r="I27" s="7"/>
      <c r="J27" s="7"/>
      <c r="K27" s="7"/>
      <c r="L27" s="7"/>
      <c r="M27" s="7"/>
      <c r="N27" s="7"/>
      <c r="O27" s="7"/>
      <c r="V27" s="11"/>
      <c r="W27" s="11"/>
      <c r="X27" s="11"/>
      <c r="Y27" s="11"/>
      <c r="Z27" s="11"/>
      <c r="AA27" s="11"/>
      <c r="AB27" s="7"/>
      <c r="AC27" s="7"/>
      <c r="AD27" s="7"/>
      <c r="AE27" s="7"/>
      <c r="AF27" s="7"/>
      <c r="AG27" s="7"/>
      <c r="AJ27" s="7"/>
      <c r="AK27" s="7"/>
      <c r="AL27" s="7" t="s">
        <v>22</v>
      </c>
      <c r="AM27" s="7"/>
      <c r="AN27" s="7" t="s">
        <v>23</v>
      </c>
      <c r="AO27" s="7"/>
      <c r="AP27" t="s">
        <v>24</v>
      </c>
      <c r="AR27" t="s">
        <v>25</v>
      </c>
      <c r="AT27" t="s">
        <v>26</v>
      </c>
      <c r="AV27" t="s">
        <v>27</v>
      </c>
      <c r="AX27" s="7"/>
    </row>
    <row r="28" spans="7:50">
      <c r="I28" s="7" t="s">
        <v>22</v>
      </c>
      <c r="J28" s="7"/>
      <c r="K28" s="7" t="s">
        <v>23</v>
      </c>
      <c r="L28" s="7"/>
      <c r="M28" t="s">
        <v>24</v>
      </c>
      <c r="O28" t="s">
        <v>25</v>
      </c>
      <c r="Q28" t="s">
        <v>26</v>
      </c>
      <c r="S28" t="s">
        <v>27</v>
      </c>
      <c r="V28" s="35" t="s">
        <v>21</v>
      </c>
      <c r="W28" s="11"/>
      <c r="X28" s="11"/>
      <c r="Y28" s="11"/>
      <c r="Z28" s="11"/>
      <c r="AA28" s="11"/>
      <c r="AB28" s="7"/>
      <c r="AC28" s="7"/>
      <c r="AD28" s="7"/>
      <c r="AE28" s="7"/>
      <c r="AF28" s="7"/>
      <c r="AG28" s="7"/>
      <c r="AJ28" s="7"/>
      <c r="AK28" s="7"/>
      <c r="AL28" s="86">
        <v>0.85</v>
      </c>
      <c r="AM28" s="87">
        <v>-0.53</v>
      </c>
      <c r="AN28" s="88">
        <v>0.43</v>
      </c>
      <c r="AO28" s="89">
        <f>-AN29</f>
        <v>-0.9</v>
      </c>
      <c r="AP28" s="88">
        <v>-0.1</v>
      </c>
      <c r="AQ28" s="89">
        <f>-AP29</f>
        <v>-0.99</v>
      </c>
      <c r="AR28" s="88">
        <v>-0.6</v>
      </c>
      <c r="AS28" s="89">
        <f>-AR29</f>
        <v>-0.78</v>
      </c>
      <c r="AT28" s="88">
        <v>-0.9</v>
      </c>
      <c r="AU28" s="89">
        <f>-AT29</f>
        <v>-0.32</v>
      </c>
      <c r="AV28" s="88">
        <v>-1</v>
      </c>
      <c r="AW28" s="89">
        <f>-AV29</f>
        <v>0.23</v>
      </c>
      <c r="AX28" s="7"/>
    </row>
    <row r="29" spans="7:50">
      <c r="I29" s="86">
        <v>0.85</v>
      </c>
      <c r="J29" s="87">
        <v>-0.53</v>
      </c>
      <c r="K29" s="88">
        <v>0.43</v>
      </c>
      <c r="L29" s="89">
        <f>-K30</f>
        <v>-0.9</v>
      </c>
      <c r="M29" s="88">
        <v>-0.1</v>
      </c>
      <c r="N29" s="89">
        <f>-M30</f>
        <v>-0.99</v>
      </c>
      <c r="O29" s="88">
        <v>-0.6</v>
      </c>
      <c r="P29" s="89">
        <f>-O30</f>
        <v>-0.78</v>
      </c>
      <c r="Q29" s="88">
        <v>-0.9</v>
      </c>
      <c r="R29" s="89">
        <f>-Q30</f>
        <v>-0.32</v>
      </c>
      <c r="S29" s="88">
        <v>-1</v>
      </c>
      <c r="T29" s="89">
        <f>-S30</f>
        <v>0.23</v>
      </c>
      <c r="V29" s="13" cm="1">
        <f t="array" ref="V29:V30">MMULT(I29:J30,V25:V26)</f>
        <v>3.7199999999999998</v>
      </c>
      <c r="W29" s="13" cm="1">
        <f t="array" ref="W29:W30">MMULT(K29:L30,W25:W26)</f>
        <v>-0.9800000000000002</v>
      </c>
      <c r="X29" s="13" cm="1">
        <f t="array" ref="X29:X30">MMULT(M29:N30,X25:X26)</f>
        <v>-0.99</v>
      </c>
      <c r="Y29" s="13" cm="1">
        <f t="array" ref="Y29:Y30">MMULT(O29:P30,Y25:Y26)</f>
        <v>-3.7800000000000002</v>
      </c>
      <c r="Z29" s="13" cm="1">
        <f t="array" ref="Z29:Z30">MMULT(Q29:R30,Z25:Z26)</f>
        <v>0.9</v>
      </c>
      <c r="AA29" s="13" cm="1">
        <f t="array" ref="AA29:AA30">MMULT(S29:T30,AA25:AA26)</f>
        <v>-5.23</v>
      </c>
      <c r="AB29" s="7"/>
      <c r="AC29" s="7"/>
      <c r="AD29" s="7"/>
      <c r="AE29" s="7"/>
      <c r="AF29" s="7"/>
      <c r="AG29" s="7"/>
      <c r="AJ29" s="7"/>
      <c r="AK29" s="7"/>
      <c r="AL29" s="90">
        <v>0.53</v>
      </c>
      <c r="AM29" s="91">
        <v>0.85</v>
      </c>
      <c r="AN29" s="92">
        <v>0.9</v>
      </c>
      <c r="AO29" s="93">
        <v>0.43</v>
      </c>
      <c r="AP29" s="92">
        <v>0.99</v>
      </c>
      <c r="AQ29" s="93">
        <v>-0.1</v>
      </c>
      <c r="AR29" s="92">
        <v>0.78</v>
      </c>
      <c r="AS29" s="93">
        <f>-0.6</f>
        <v>-0.6</v>
      </c>
      <c r="AT29" s="92">
        <v>0.32</v>
      </c>
      <c r="AU29" s="93">
        <v>-0.9</v>
      </c>
      <c r="AV29" s="92">
        <v>-0.23</v>
      </c>
      <c r="AW29" s="93">
        <v>-1</v>
      </c>
      <c r="AX29" s="7"/>
    </row>
    <row r="30" spans="7:50">
      <c r="I30" s="90">
        <v>0.53</v>
      </c>
      <c r="J30" s="91">
        <v>0.85</v>
      </c>
      <c r="K30" s="92">
        <v>0.9</v>
      </c>
      <c r="L30" s="93">
        <v>0.43</v>
      </c>
      <c r="M30" s="92">
        <v>0.99</v>
      </c>
      <c r="N30" s="93">
        <v>-0.1</v>
      </c>
      <c r="O30" s="92">
        <v>0.78</v>
      </c>
      <c r="P30" s="93">
        <f>-0.6</f>
        <v>-0.6</v>
      </c>
      <c r="Q30" s="92">
        <v>0.32</v>
      </c>
      <c r="R30" s="93">
        <v>-0.9</v>
      </c>
      <c r="S30" s="92">
        <v>-0.23</v>
      </c>
      <c r="T30" s="93">
        <v>-1</v>
      </c>
      <c r="V30" s="26">
        <v>3.5000000000000004</v>
      </c>
      <c r="W30" s="26">
        <v>4.8900000000000006</v>
      </c>
      <c r="X30" s="26">
        <v>-0.1</v>
      </c>
      <c r="Y30" s="26">
        <v>3.3000000000000003</v>
      </c>
      <c r="Z30" s="26">
        <v>-0.32</v>
      </c>
      <c r="AA30" s="26">
        <v>-0.15000000000000013</v>
      </c>
      <c r="AB30" s="7"/>
      <c r="AC30" s="7"/>
      <c r="AD30" s="7"/>
      <c r="AE30" s="7"/>
      <c r="AF30" s="7"/>
      <c r="AG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7:50">
      <c r="H31" s="7"/>
      <c r="I31" s="7"/>
      <c r="J31" s="7"/>
      <c r="K31" s="7"/>
      <c r="L31" s="7"/>
      <c r="O31" s="7"/>
      <c r="V31" s="35"/>
      <c r="W31" s="35"/>
      <c r="X31" s="35"/>
      <c r="Y31" s="35"/>
      <c r="Z31" s="35"/>
      <c r="AA31" s="35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 t="s">
        <v>81</v>
      </c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7:50">
      <c r="H32" s="7"/>
      <c r="I32" s="7"/>
      <c r="J32" s="7"/>
      <c r="K32" s="7"/>
      <c r="L32" s="7"/>
      <c r="M32" s="7"/>
      <c r="N32" s="7"/>
      <c r="O32" s="7"/>
      <c r="P32" s="7"/>
      <c r="Q32" s="7"/>
      <c r="R32" s="34" t="s">
        <v>16</v>
      </c>
      <c r="S32" s="34"/>
      <c r="W32" s="11"/>
      <c r="X32" s="11"/>
      <c r="Y32" s="11"/>
      <c r="Z32" s="11"/>
      <c r="AA32" s="11"/>
      <c r="AB32" s="7"/>
      <c r="AC32" s="54" t="s">
        <v>77</v>
      </c>
      <c r="AD32" s="7"/>
      <c r="AE32" s="7"/>
      <c r="AF32" s="7"/>
      <c r="AG32" s="7"/>
      <c r="AH32" s="7"/>
      <c r="AI32" s="7"/>
      <c r="AJ32" s="7"/>
      <c r="AK32" s="7"/>
      <c r="AL32" s="86">
        <f>COS(AL36)</f>
        <v>0.86602540378443871</v>
      </c>
      <c r="AM32" s="87">
        <f>-SIN(AM36)</f>
        <v>-0.49999999999999994</v>
      </c>
      <c r="AN32" s="86">
        <f>COS(AN36)</f>
        <v>0.50000000000000011</v>
      </c>
      <c r="AO32" s="87">
        <f>-SIN(AO36)</f>
        <v>-0.8660254037844386</v>
      </c>
      <c r="AP32" s="86">
        <f>COS(AP36)</f>
        <v>6.1257422745431001E-17</v>
      </c>
      <c r="AQ32" s="87">
        <f>-SIN(AQ36)</f>
        <v>-1</v>
      </c>
      <c r="AR32" s="86">
        <f>COS(AR36)</f>
        <v>-0.49999999999999978</v>
      </c>
      <c r="AS32" s="87">
        <f>-SIN(AS36)</f>
        <v>-0.86602540378443871</v>
      </c>
      <c r="AT32" s="86">
        <f>COS(AT36)</f>
        <v>-0.86602540378443871</v>
      </c>
      <c r="AU32" s="87">
        <f>-SIN(AU36)</f>
        <v>-0.49999999999999994</v>
      </c>
      <c r="AV32" s="86">
        <f>COS(AV36)</f>
        <v>-1</v>
      </c>
      <c r="AW32" s="87">
        <f>-SIN(AW36)</f>
        <v>-1.22514845490862E-16</v>
      </c>
      <c r="AX32" s="7"/>
    </row>
    <row r="33" spans="8:55">
      <c r="H33" s="7"/>
      <c r="I33" s="7"/>
      <c r="J33" s="7"/>
      <c r="K33" s="7"/>
      <c r="L33" s="7"/>
      <c r="M33" s="7"/>
      <c r="N33" s="7"/>
      <c r="O33" s="7"/>
      <c r="P33" s="33">
        <v>0</v>
      </c>
      <c r="Q33" s="33">
        <v>0</v>
      </c>
      <c r="R33" s="36">
        <v>2</v>
      </c>
      <c r="S33" s="36">
        <v>1</v>
      </c>
      <c r="T33" s="36">
        <v>1</v>
      </c>
      <c r="V33" s="13" cm="1">
        <f t="array" ref="V33:AA34">MMULT(R33:T34,V15:AA17)</f>
        <v>14</v>
      </c>
      <c r="W33" s="13">
        <v>19</v>
      </c>
      <c r="X33" s="13">
        <v>2</v>
      </c>
      <c r="Y33" s="13">
        <v>14</v>
      </c>
      <c r="Z33" s="13">
        <v>-2</v>
      </c>
      <c r="AA33" s="13">
        <v>11</v>
      </c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90">
        <f>SIN(AL36)</f>
        <v>0.49999999999999994</v>
      </c>
      <c r="AM33" s="91">
        <f>(COS(AM36))</f>
        <v>0.86602540378443871</v>
      </c>
      <c r="AN33" s="90">
        <f>SIN(AN36)</f>
        <v>0.8660254037844386</v>
      </c>
      <c r="AO33" s="91">
        <f>(COS(AO36))</f>
        <v>0.50000000000000011</v>
      </c>
      <c r="AP33" s="90">
        <f>SIN(AP36)</f>
        <v>1</v>
      </c>
      <c r="AQ33" s="91">
        <f>(COS(AQ36))</f>
        <v>6.1257422745431001E-17</v>
      </c>
      <c r="AR33" s="90">
        <f>SIN(AR36)</f>
        <v>0.86602540378443871</v>
      </c>
      <c r="AS33" s="91">
        <f>(COS(AS36))</f>
        <v>-0.49999999999999978</v>
      </c>
      <c r="AT33" s="90">
        <f>SIN(AT36)</f>
        <v>0.49999999999999994</v>
      </c>
      <c r="AU33" s="91">
        <f>(COS(AU36))</f>
        <v>-0.86602540378443871</v>
      </c>
      <c r="AV33" s="90">
        <f>SIN(AV36)</f>
        <v>1.22514845490862E-16</v>
      </c>
      <c r="AW33" s="91">
        <f>(COS(AW36))</f>
        <v>-1</v>
      </c>
      <c r="AX33" s="7"/>
    </row>
    <row r="34" spans="8:55">
      <c r="H34" s="7"/>
      <c r="I34" s="7"/>
      <c r="J34" s="7"/>
      <c r="K34" s="7"/>
      <c r="L34" s="7"/>
      <c r="M34" s="7"/>
      <c r="N34" s="7"/>
      <c r="O34" s="7"/>
      <c r="P34" s="33">
        <v>1</v>
      </c>
      <c r="Q34" s="33">
        <v>0</v>
      </c>
      <c r="R34" s="36">
        <v>-1</v>
      </c>
      <c r="S34" s="36">
        <v>1</v>
      </c>
      <c r="T34" s="36">
        <v>-1</v>
      </c>
      <c r="V34" s="26">
        <v>-6</v>
      </c>
      <c r="W34" s="26">
        <v>-11</v>
      </c>
      <c r="X34" s="26">
        <v>0</v>
      </c>
      <c r="Y34" s="26">
        <v>-6</v>
      </c>
      <c r="Z34" s="26">
        <v>1</v>
      </c>
      <c r="AA34" s="26">
        <v>-9</v>
      </c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8:55">
      <c r="H35" s="7"/>
      <c r="I35" s="7"/>
      <c r="J35" s="7"/>
      <c r="K35" s="7"/>
      <c r="L35" s="7"/>
      <c r="M35" s="7"/>
      <c r="N35" s="7"/>
      <c r="O35" s="7"/>
      <c r="V35" s="11"/>
      <c r="W35" s="11"/>
      <c r="X35" s="11"/>
      <c r="Y35" s="11"/>
      <c r="Z35" s="11"/>
      <c r="AA35" s="11"/>
      <c r="AB35" s="7"/>
      <c r="AC35" s="7"/>
      <c r="AD35" s="7"/>
      <c r="AE35" s="7"/>
      <c r="AF35" s="7"/>
      <c r="AG35" s="7"/>
      <c r="AH35" s="7"/>
      <c r="AI35" s="7"/>
      <c r="AJ35" s="7"/>
      <c r="AK35" s="7" t="s">
        <v>80</v>
      </c>
      <c r="AL35" s="7">
        <v>30</v>
      </c>
      <c r="AM35" s="7">
        <v>30</v>
      </c>
      <c r="AN35" s="7">
        <f>AL35+30</f>
        <v>60</v>
      </c>
      <c r="AO35" s="7">
        <v>60</v>
      </c>
      <c r="AP35" s="7">
        <f>AN35+30</f>
        <v>90</v>
      </c>
      <c r="AQ35" s="7">
        <v>90</v>
      </c>
      <c r="AR35" s="7">
        <f>AP35+30</f>
        <v>120</v>
      </c>
      <c r="AS35" s="7">
        <v>120</v>
      </c>
      <c r="AT35" s="7">
        <f>AR35+30</f>
        <v>150</v>
      </c>
      <c r="AU35" s="7">
        <v>150</v>
      </c>
      <c r="AV35" s="7">
        <f>AT35+30</f>
        <v>180</v>
      </c>
      <c r="AW35" s="7">
        <v>180</v>
      </c>
      <c r="AX35" s="7"/>
    </row>
    <row r="36" spans="8:55">
      <c r="I36" s="7" t="s">
        <v>22</v>
      </c>
      <c r="J36" s="7"/>
      <c r="K36" s="7" t="s">
        <v>23</v>
      </c>
      <c r="L36" s="7"/>
      <c r="M36" t="s">
        <v>24</v>
      </c>
      <c r="O36" t="s">
        <v>25</v>
      </c>
      <c r="Q36" t="s">
        <v>26</v>
      </c>
      <c r="S36" t="s">
        <v>27</v>
      </c>
      <c r="V36" s="35" t="s">
        <v>18</v>
      </c>
      <c r="W36" s="11"/>
      <c r="X36" s="11"/>
      <c r="Y36" s="11"/>
      <c r="Z36" s="11"/>
      <c r="AA36" s="11"/>
      <c r="AB36" s="7"/>
      <c r="AC36" s="7"/>
      <c r="AD36" s="7"/>
      <c r="AE36" s="7"/>
      <c r="AF36" s="7"/>
      <c r="AG36" s="7"/>
      <c r="AH36" s="7"/>
      <c r="AI36" s="7"/>
      <c r="AJ36" s="7"/>
      <c r="AK36" s="7" t="s">
        <v>79</v>
      </c>
      <c r="AL36" s="7">
        <f>RADIANS(AL35)</f>
        <v>0.52359877559829882</v>
      </c>
      <c r="AM36" s="7">
        <f t="shared" ref="AM36" si="0">RADIANS(AM35)</f>
        <v>0.52359877559829882</v>
      </c>
      <c r="AN36" s="7">
        <f t="shared" ref="AN36" si="1">RADIANS(AN35)</f>
        <v>1.0471975511965976</v>
      </c>
      <c r="AO36" s="7">
        <f t="shared" ref="AO36" si="2">RADIANS(AO35)</f>
        <v>1.0471975511965976</v>
      </c>
      <c r="AP36" s="7">
        <f t="shared" ref="AP36" si="3">RADIANS(AP35)</f>
        <v>1.5707963267948966</v>
      </c>
      <c r="AQ36" s="7">
        <f t="shared" ref="AQ36" si="4">RADIANS(AQ35)</f>
        <v>1.5707963267948966</v>
      </c>
      <c r="AR36" s="7">
        <f t="shared" ref="AR36" si="5">RADIANS(AR35)</f>
        <v>2.0943951023931953</v>
      </c>
      <c r="AS36" s="7">
        <f t="shared" ref="AS36" si="6">RADIANS(AS35)</f>
        <v>2.0943951023931953</v>
      </c>
      <c r="AT36" s="7">
        <f t="shared" ref="AT36" si="7">RADIANS(AT35)</f>
        <v>2.6179938779914944</v>
      </c>
      <c r="AU36" s="7">
        <f t="shared" ref="AU36" si="8">RADIANS(AU35)</f>
        <v>2.6179938779914944</v>
      </c>
      <c r="AV36" s="7">
        <f t="shared" ref="AV36" si="9">RADIANS(AV35)</f>
        <v>3.1415926535897931</v>
      </c>
      <c r="AW36" s="7">
        <f t="shared" ref="AW36" si="10">RADIANS(AW35)</f>
        <v>3.1415926535897931</v>
      </c>
      <c r="AX36" s="7"/>
    </row>
    <row r="37" spans="8:55">
      <c r="I37" s="86">
        <v>0.85</v>
      </c>
      <c r="J37" s="87">
        <v>-0.53</v>
      </c>
      <c r="K37" s="88">
        <v>0.43</v>
      </c>
      <c r="L37" s="89">
        <f>-K38</f>
        <v>-0.9</v>
      </c>
      <c r="M37" s="88">
        <v>-0.1</v>
      </c>
      <c r="N37" s="89">
        <f>-M38</f>
        <v>-0.99</v>
      </c>
      <c r="O37" s="88">
        <v>-0.6</v>
      </c>
      <c r="P37" s="89">
        <f>-O38</f>
        <v>-0.78</v>
      </c>
      <c r="Q37" s="88">
        <v>-0.9</v>
      </c>
      <c r="R37" s="89">
        <f>-Q38</f>
        <v>-0.32</v>
      </c>
      <c r="S37" s="88">
        <v>-1</v>
      </c>
      <c r="T37" s="89">
        <f>-S38</f>
        <v>0.2</v>
      </c>
      <c r="V37" s="13">
        <f>V29</f>
        <v>3.7199999999999998</v>
      </c>
      <c r="W37" s="13">
        <f t="shared" ref="W37:AA38" si="11">W29</f>
        <v>-0.9800000000000002</v>
      </c>
      <c r="X37" s="13">
        <f t="shared" si="11"/>
        <v>-0.99</v>
      </c>
      <c r="Y37" s="13">
        <f t="shared" si="11"/>
        <v>-3.7800000000000002</v>
      </c>
      <c r="Z37" s="13">
        <f t="shared" si="11"/>
        <v>0.9</v>
      </c>
      <c r="AA37" s="13">
        <f t="shared" si="11"/>
        <v>-5.23</v>
      </c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8:55">
      <c r="I38" s="90">
        <v>0.53</v>
      </c>
      <c r="J38" s="91">
        <v>0.85</v>
      </c>
      <c r="K38" s="92">
        <v>0.9</v>
      </c>
      <c r="L38" s="93">
        <v>0.43</v>
      </c>
      <c r="M38" s="92">
        <v>0.99</v>
      </c>
      <c r="N38" s="93">
        <v>-0.1</v>
      </c>
      <c r="O38" s="92">
        <v>0.78</v>
      </c>
      <c r="P38" s="93">
        <f>-0.6</f>
        <v>-0.6</v>
      </c>
      <c r="Q38" s="92">
        <v>0.32</v>
      </c>
      <c r="R38" s="93">
        <v>-0.9</v>
      </c>
      <c r="S38" s="92">
        <v>-0.2</v>
      </c>
      <c r="T38" s="93">
        <v>-1</v>
      </c>
      <c r="V38" s="26">
        <f>V30</f>
        <v>3.5000000000000004</v>
      </c>
      <c r="W38" s="26">
        <f t="shared" si="11"/>
        <v>4.8900000000000006</v>
      </c>
      <c r="X38" s="26">
        <f t="shared" si="11"/>
        <v>-0.1</v>
      </c>
      <c r="Y38" s="26">
        <f t="shared" si="11"/>
        <v>3.3000000000000003</v>
      </c>
      <c r="Z38" s="26">
        <f t="shared" si="11"/>
        <v>-0.32</v>
      </c>
      <c r="AA38" s="26">
        <f t="shared" si="11"/>
        <v>-0.15000000000000013</v>
      </c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8:55">
      <c r="H39" s="7"/>
      <c r="I39" s="7"/>
      <c r="J39" s="7"/>
      <c r="K39" s="7"/>
      <c r="L39" s="7"/>
      <c r="O39" s="7"/>
      <c r="V39" s="35"/>
      <c r="W39" s="35"/>
      <c r="X39" s="35"/>
      <c r="Y39" s="35"/>
      <c r="Z39" s="35"/>
      <c r="AA39" s="35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8:55">
      <c r="H40" s="7"/>
      <c r="I40" s="7"/>
      <c r="J40" s="7"/>
      <c r="K40" s="7"/>
      <c r="L40" s="7"/>
      <c r="M40" s="7"/>
      <c r="N40" s="7"/>
      <c r="O40" s="11"/>
      <c r="P40" s="11"/>
      <c r="Q40" s="11"/>
      <c r="R40" s="11"/>
      <c r="S40" s="11"/>
      <c r="T40" s="11"/>
      <c r="U40" s="11"/>
      <c r="V40" s="7"/>
      <c r="W40" s="11"/>
      <c r="X40" s="11"/>
      <c r="Y40" s="11"/>
      <c r="Z40" s="11"/>
      <c r="AA40" s="11"/>
      <c r="AD40" s="7"/>
      <c r="AE40" s="11"/>
      <c r="AF40" s="11"/>
      <c r="AG40" s="7"/>
      <c r="AH40" s="11"/>
      <c r="AI40" s="11"/>
      <c r="AJ40" s="11"/>
      <c r="AK40" s="11"/>
      <c r="AM40" s="11"/>
      <c r="AN40" s="11"/>
      <c r="AQ40" s="7"/>
      <c r="AR40" s="7"/>
      <c r="AS40" s="7"/>
      <c r="AT40" s="7"/>
      <c r="AU40" s="7"/>
      <c r="AV40" s="7"/>
      <c r="AW40" s="7"/>
      <c r="AX40" s="7"/>
    </row>
    <row r="41" spans="8:55">
      <c r="H41" s="7"/>
      <c r="I41" s="7"/>
      <c r="J41" s="7"/>
      <c r="K41" s="7"/>
      <c r="L41" s="7"/>
      <c r="M41" s="7"/>
      <c r="N41" s="7"/>
      <c r="O41" s="11"/>
      <c r="P41" s="11"/>
      <c r="Q41" s="11"/>
      <c r="R41" s="11"/>
      <c r="S41" s="11"/>
      <c r="T41" s="11"/>
      <c r="U41" s="11"/>
      <c r="V41" s="7"/>
      <c r="W41" s="11"/>
      <c r="X41" s="11"/>
      <c r="Y41" s="11"/>
      <c r="Z41" s="11"/>
      <c r="AA41" s="11"/>
      <c r="AD41" s="7"/>
      <c r="AE41" s="11"/>
      <c r="AF41" s="11"/>
      <c r="AG41" s="7"/>
      <c r="AH41" s="11"/>
      <c r="AI41" s="11"/>
      <c r="AJ41" s="11"/>
      <c r="AK41" s="11"/>
      <c r="AL41" s="11"/>
      <c r="AM41" s="11"/>
      <c r="AN41" s="11"/>
      <c r="AQ41" s="7"/>
      <c r="AR41" s="7"/>
      <c r="AS41" s="7"/>
      <c r="AT41" s="7"/>
      <c r="AU41" s="7"/>
      <c r="AV41" s="7"/>
      <c r="AW41" s="7"/>
      <c r="AX41" s="7"/>
    </row>
    <row r="42" spans="8:55">
      <c r="H42" s="7"/>
      <c r="I42" s="7"/>
      <c r="J42" s="7"/>
      <c r="K42" s="7"/>
      <c r="L42" s="7"/>
      <c r="M42" s="7"/>
      <c r="N42" s="7"/>
      <c r="O42" s="11"/>
      <c r="P42" s="11"/>
      <c r="Q42" s="11"/>
      <c r="R42" s="11"/>
      <c r="S42" s="11"/>
      <c r="T42" s="11"/>
      <c r="U42" s="11"/>
      <c r="V42" s="7"/>
      <c r="W42" s="11"/>
      <c r="X42" s="11"/>
      <c r="Y42" s="11"/>
      <c r="Z42" s="11"/>
      <c r="AA42" s="11"/>
      <c r="AD42" s="7"/>
      <c r="AE42" s="11"/>
      <c r="AF42" s="11"/>
      <c r="AG42" s="7"/>
      <c r="AH42" s="11"/>
      <c r="AI42" s="11"/>
      <c r="AJ42" s="11"/>
      <c r="AK42" s="11" t="s">
        <v>18</v>
      </c>
      <c r="AL42" s="104">
        <f>V37</f>
        <v>3.7199999999999998</v>
      </c>
      <c r="AM42" s="104">
        <f t="shared" ref="AM42:AQ42" si="12">W37</f>
        <v>-0.9800000000000002</v>
      </c>
      <c r="AN42" s="104">
        <f t="shared" si="12"/>
        <v>-0.99</v>
      </c>
      <c r="AO42" s="104">
        <f t="shared" si="12"/>
        <v>-3.7800000000000002</v>
      </c>
      <c r="AP42" s="104">
        <f t="shared" si="12"/>
        <v>0.9</v>
      </c>
      <c r="AQ42" s="104">
        <f t="shared" si="12"/>
        <v>-5.23</v>
      </c>
      <c r="AR42" s="7"/>
      <c r="AS42" s="54" t="s">
        <v>78</v>
      </c>
      <c r="AT42" s="7"/>
      <c r="AU42" s="7"/>
      <c r="AV42" s="7"/>
      <c r="AW42" s="7"/>
      <c r="AX42" s="7"/>
    </row>
    <row r="43" spans="8:55">
      <c r="H43" s="7"/>
      <c r="I43" s="7"/>
      <c r="J43" s="7"/>
      <c r="N43" s="7"/>
      <c r="P43" s="11"/>
      <c r="Q43" s="11"/>
      <c r="R43" s="11"/>
      <c r="S43" s="11" t="s">
        <v>2</v>
      </c>
      <c r="T43" s="11"/>
      <c r="U43" s="7"/>
      <c r="V43" s="11" t="s">
        <v>19</v>
      </c>
      <c r="W43" s="11"/>
      <c r="X43" s="11"/>
      <c r="Y43" s="11"/>
      <c r="Z43" s="11"/>
      <c r="AA43" s="11"/>
      <c r="AG43" s="11"/>
      <c r="AH43" s="11"/>
      <c r="AI43" s="11"/>
      <c r="AJ43" s="7"/>
      <c r="AK43" s="7"/>
      <c r="AL43" s="105">
        <f>V38</f>
        <v>3.5000000000000004</v>
      </c>
      <c r="AM43" s="105">
        <f t="shared" ref="AM43:AQ43" si="13">W38</f>
        <v>4.8900000000000006</v>
      </c>
      <c r="AN43" s="105">
        <f t="shared" si="13"/>
        <v>-0.1</v>
      </c>
      <c r="AO43" s="105">
        <f t="shared" si="13"/>
        <v>3.3000000000000003</v>
      </c>
      <c r="AP43" s="105">
        <f t="shared" si="13"/>
        <v>-0.32</v>
      </c>
      <c r="AQ43" s="105">
        <f t="shared" si="13"/>
        <v>-0.15000000000000013</v>
      </c>
      <c r="AT43" s="7"/>
      <c r="AU43" s="7"/>
      <c r="AV43" s="7"/>
      <c r="AW43" s="7"/>
      <c r="AX43" s="7"/>
      <c r="AY43" s="7"/>
      <c r="AZ43" s="7"/>
      <c r="BA43" s="7"/>
    </row>
    <row r="44" spans="8:55">
      <c r="H44" s="7"/>
      <c r="I44" s="7"/>
      <c r="N44" s="7"/>
      <c r="O44" s="33">
        <v>0</v>
      </c>
      <c r="P44" s="33">
        <v>0</v>
      </c>
      <c r="Q44" s="12">
        <v>1</v>
      </c>
      <c r="R44" s="12">
        <v>-1</v>
      </c>
      <c r="S44" s="12">
        <v>1</v>
      </c>
      <c r="T44" s="11" t="s">
        <v>3</v>
      </c>
      <c r="U44" s="7"/>
      <c r="V44" s="13" cm="1">
        <f t="array" ref="V44:AA47">MMULT(Q44:S47,V15:AA17)</f>
        <v>6</v>
      </c>
      <c r="W44" s="13">
        <v>11</v>
      </c>
      <c r="X44" s="13">
        <v>0</v>
      </c>
      <c r="Y44" s="13">
        <v>6</v>
      </c>
      <c r="Z44" s="13">
        <v>-1</v>
      </c>
      <c r="AA44" s="13">
        <v>9</v>
      </c>
      <c r="AG44" s="11"/>
      <c r="AH44" s="11"/>
      <c r="AI44" s="11"/>
      <c r="AJ44" s="7"/>
      <c r="AK44" s="35" t="s">
        <v>19</v>
      </c>
      <c r="AL44" s="79">
        <f>V44</f>
        <v>6</v>
      </c>
      <c r="AM44" s="79">
        <f t="shared" ref="AM44:AQ44" si="14">W44</f>
        <v>11</v>
      </c>
      <c r="AN44" s="79">
        <f t="shared" si="14"/>
        <v>0</v>
      </c>
      <c r="AO44" s="79">
        <f t="shared" si="14"/>
        <v>6</v>
      </c>
      <c r="AP44" s="79">
        <f t="shared" si="14"/>
        <v>-1</v>
      </c>
      <c r="AQ44" s="79">
        <f t="shared" si="14"/>
        <v>9</v>
      </c>
      <c r="AT44" s="7"/>
      <c r="AU44" s="7"/>
      <c r="AV44" s="7"/>
      <c r="AW44" s="7"/>
      <c r="AX44" s="7"/>
      <c r="AY44" s="7"/>
      <c r="AZ44" s="7"/>
      <c r="BA44" s="7"/>
    </row>
    <row r="45" spans="8:55">
      <c r="H45" s="7"/>
      <c r="I45" s="7"/>
      <c r="N45" s="7"/>
      <c r="O45" s="33">
        <v>0</v>
      </c>
      <c r="P45" s="33">
        <v>0</v>
      </c>
      <c r="Q45" s="12">
        <v>0</v>
      </c>
      <c r="R45" s="12">
        <v>1</v>
      </c>
      <c r="S45" s="12">
        <v>-1</v>
      </c>
      <c r="T45" s="11" t="s">
        <v>3</v>
      </c>
      <c r="U45" s="7"/>
      <c r="V45" s="14">
        <v>-2</v>
      </c>
      <c r="W45" s="14">
        <v>-5</v>
      </c>
      <c r="X45" s="14">
        <v>0</v>
      </c>
      <c r="Y45" s="14">
        <v>-2</v>
      </c>
      <c r="Z45" s="14">
        <v>0</v>
      </c>
      <c r="AA45" s="14">
        <v>-3</v>
      </c>
      <c r="AG45" s="11"/>
      <c r="AH45" s="11"/>
      <c r="AI45" s="11"/>
      <c r="AJ45" s="7"/>
      <c r="AK45" s="11"/>
      <c r="AL45" s="79">
        <f t="shared" ref="AL45:AL47" si="15">V45</f>
        <v>-2</v>
      </c>
      <c r="AM45" s="79">
        <f t="shared" ref="AM45:AM47" si="16">W45</f>
        <v>-5</v>
      </c>
      <c r="AN45" s="79">
        <f t="shared" ref="AN45:AN47" si="17">X45</f>
        <v>0</v>
      </c>
      <c r="AO45" s="79">
        <f t="shared" ref="AO45:AO47" si="18">Y45</f>
        <v>-2</v>
      </c>
      <c r="AP45" s="79">
        <f t="shared" ref="AP45:AP47" si="19">Z45</f>
        <v>0</v>
      </c>
      <c r="AQ45" s="79">
        <f t="shared" ref="AQ45:AQ47" si="20">AA45</f>
        <v>-3</v>
      </c>
      <c r="AT45" s="7"/>
      <c r="AU45" s="7"/>
      <c r="AV45" s="7"/>
      <c r="AW45" s="7"/>
      <c r="AX45" s="7"/>
      <c r="AY45" s="7"/>
      <c r="AZ45" s="7"/>
      <c r="BA45" s="7"/>
    </row>
    <row r="46" spans="8:55">
      <c r="H46" s="7"/>
      <c r="I46" s="7"/>
      <c r="N46" s="7"/>
      <c r="O46" s="33">
        <v>1</v>
      </c>
      <c r="P46" s="33">
        <v>0</v>
      </c>
      <c r="Q46" s="12">
        <v>0</v>
      </c>
      <c r="R46" s="12">
        <v>1</v>
      </c>
      <c r="S46" s="12">
        <v>0</v>
      </c>
      <c r="T46" s="11" t="s">
        <v>3</v>
      </c>
      <c r="U46" s="7"/>
      <c r="V46" s="14">
        <v>2</v>
      </c>
      <c r="W46" s="14">
        <v>1</v>
      </c>
      <c r="X46" s="14">
        <v>1</v>
      </c>
      <c r="Y46" s="14">
        <v>2</v>
      </c>
      <c r="Z46" s="14">
        <v>0</v>
      </c>
      <c r="AA46" s="14">
        <v>-2</v>
      </c>
      <c r="AG46" s="11"/>
      <c r="AH46" s="11"/>
      <c r="AI46" s="11"/>
      <c r="AJ46" s="7"/>
      <c r="AK46" s="11"/>
      <c r="AL46" s="79">
        <f t="shared" si="15"/>
        <v>2</v>
      </c>
      <c r="AM46" s="79">
        <f t="shared" si="16"/>
        <v>1</v>
      </c>
      <c r="AN46" s="79">
        <f t="shared" si="17"/>
        <v>1</v>
      </c>
      <c r="AO46" s="79">
        <f t="shared" si="18"/>
        <v>2</v>
      </c>
      <c r="AP46" s="79">
        <f t="shared" si="19"/>
        <v>0</v>
      </c>
      <c r="AQ46" s="79">
        <f t="shared" si="20"/>
        <v>-2</v>
      </c>
      <c r="AT46" s="7"/>
      <c r="AU46" s="7"/>
      <c r="AV46" s="7"/>
      <c r="AW46" s="7"/>
      <c r="AX46" s="7"/>
      <c r="AY46" s="7"/>
      <c r="AZ46" s="7"/>
      <c r="BA46" s="7"/>
    </row>
    <row r="47" spans="8:55">
      <c r="O47" s="33">
        <v>1</v>
      </c>
      <c r="P47" s="33">
        <v>1</v>
      </c>
      <c r="Q47" s="12">
        <v>1</v>
      </c>
      <c r="R47" s="12">
        <v>1</v>
      </c>
      <c r="S47" s="12">
        <v>1</v>
      </c>
      <c r="T47" s="11" t="s">
        <v>3</v>
      </c>
      <c r="U47" s="7"/>
      <c r="V47" s="15">
        <v>10</v>
      </c>
      <c r="W47" s="15">
        <v>13</v>
      </c>
      <c r="X47" s="15">
        <v>2</v>
      </c>
      <c r="Y47" s="15">
        <v>10</v>
      </c>
      <c r="Z47" s="15">
        <v>-1</v>
      </c>
      <c r="AA47" s="15">
        <v>5</v>
      </c>
      <c r="AG47" s="11"/>
      <c r="AH47" s="11"/>
      <c r="AI47" s="11"/>
      <c r="AJ47" s="7"/>
      <c r="AK47" s="11"/>
      <c r="AL47" s="80">
        <f t="shared" si="15"/>
        <v>10</v>
      </c>
      <c r="AM47" s="80">
        <f t="shared" si="16"/>
        <v>13</v>
      </c>
      <c r="AN47" s="80">
        <f t="shared" si="17"/>
        <v>2</v>
      </c>
      <c r="AO47" s="80">
        <f t="shared" si="18"/>
        <v>10</v>
      </c>
      <c r="AP47" s="80">
        <f t="shared" si="19"/>
        <v>-1</v>
      </c>
      <c r="AQ47" s="80">
        <f t="shared" si="20"/>
        <v>5</v>
      </c>
      <c r="AT47" s="7"/>
      <c r="AU47" s="7"/>
      <c r="AV47" s="7"/>
      <c r="AW47" s="7"/>
      <c r="AX47" s="7"/>
      <c r="AY47" s="7"/>
      <c r="AZ47" s="7"/>
      <c r="BA47" s="7"/>
    </row>
    <row r="48" spans="8:55">
      <c r="P48" s="11"/>
      <c r="Q48" s="11"/>
      <c r="R48" s="11"/>
      <c r="S48" s="11" t="s">
        <v>4</v>
      </c>
      <c r="T48" s="11"/>
      <c r="U48" s="7"/>
      <c r="V48" s="7" t="s">
        <v>20</v>
      </c>
      <c r="W48" s="11"/>
      <c r="X48" s="11"/>
      <c r="Y48" s="11"/>
      <c r="Z48" s="11"/>
      <c r="AA48" s="11"/>
      <c r="AG48" s="16"/>
      <c r="AH48" s="11"/>
      <c r="AI48" s="11"/>
      <c r="AJ48" s="7"/>
      <c r="AK48" s="11"/>
      <c r="AL48" s="16" t="s">
        <v>5</v>
      </c>
      <c r="AM48" s="11"/>
      <c r="AN48" s="11"/>
      <c r="AO48" s="11"/>
      <c r="AP48" s="7"/>
      <c r="AQ48" s="7"/>
      <c r="AS48" s="11" t="s">
        <v>6</v>
      </c>
      <c r="AT48" s="7"/>
      <c r="AU48" s="54" t="s">
        <v>68</v>
      </c>
      <c r="AV48" s="7"/>
      <c r="AW48" s="7"/>
      <c r="AX48" s="7"/>
      <c r="AY48" s="7"/>
      <c r="AZ48" s="7"/>
      <c r="BA48" s="7"/>
      <c r="BC48" t="s">
        <v>67</v>
      </c>
    </row>
    <row r="49" spans="8:66">
      <c r="O49" s="33">
        <v>1</v>
      </c>
      <c r="P49" s="33">
        <v>0</v>
      </c>
      <c r="Q49" s="33">
        <v>0</v>
      </c>
      <c r="R49" s="12">
        <v>0</v>
      </c>
      <c r="S49" s="12">
        <v>0</v>
      </c>
      <c r="T49" s="11" t="s">
        <v>3</v>
      </c>
      <c r="U49" s="7"/>
      <c r="V49" s="13" cm="1">
        <f t="array" ref="V49:AA52">MMULT(R49:S52,V20:AA21)</f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E49" t="s">
        <v>21</v>
      </c>
      <c r="AG49" s="7" t="s">
        <v>20</v>
      </c>
      <c r="AH49" s="11"/>
      <c r="AI49" s="11"/>
      <c r="AJ49" s="7"/>
      <c r="AK49" s="11"/>
      <c r="AL49" s="11" t="s">
        <v>1</v>
      </c>
      <c r="AM49" s="11" t="s">
        <v>1</v>
      </c>
      <c r="AN49" s="11" t="s">
        <v>1</v>
      </c>
      <c r="AO49" s="11" t="s">
        <v>1</v>
      </c>
      <c r="AP49" s="11" t="s">
        <v>1</v>
      </c>
      <c r="AQ49" s="11" t="s">
        <v>1</v>
      </c>
      <c r="AS49" s="11"/>
      <c r="AT49" s="11">
        <v>1</v>
      </c>
      <c r="AU49" s="11">
        <v>2</v>
      </c>
      <c r="AV49" s="11">
        <v>3</v>
      </c>
      <c r="AW49" s="11">
        <v>4</v>
      </c>
      <c r="AX49" s="11">
        <v>5</v>
      </c>
      <c r="AY49" s="11">
        <v>6</v>
      </c>
      <c r="AZ49" s="7"/>
      <c r="BA49" s="7"/>
      <c r="BD49">
        <v>1</v>
      </c>
      <c r="BF49">
        <v>2</v>
      </c>
      <c r="BH49">
        <v>3</v>
      </c>
      <c r="BJ49">
        <v>4</v>
      </c>
      <c r="BL49">
        <v>5</v>
      </c>
      <c r="BN49">
        <v>6</v>
      </c>
    </row>
    <row r="50" spans="8:66">
      <c r="H50" s="7"/>
      <c r="I50" s="7"/>
      <c r="O50" s="33">
        <v>0</v>
      </c>
      <c r="P50" s="33">
        <v>1</v>
      </c>
      <c r="Q50" s="33">
        <v>0</v>
      </c>
      <c r="R50" s="12">
        <v>1</v>
      </c>
      <c r="S50" s="12">
        <v>1</v>
      </c>
      <c r="T50" s="11" t="s">
        <v>3</v>
      </c>
      <c r="U50" s="7"/>
      <c r="V50" s="14">
        <v>1</v>
      </c>
      <c r="W50" s="14">
        <v>3</v>
      </c>
      <c r="X50" s="14">
        <v>-3</v>
      </c>
      <c r="Y50" s="14">
        <v>1</v>
      </c>
      <c r="Z50" s="14">
        <v>-3</v>
      </c>
      <c r="AA50" s="14">
        <v>1</v>
      </c>
      <c r="AD50" s="11">
        <v>1</v>
      </c>
      <c r="AE50" s="106" cm="1">
        <f t="array" ref="AE50:AF55">TRANSPOSE(V29:AA30)</f>
        <v>3.7199999999999998</v>
      </c>
      <c r="AF50" s="107">
        <v>3.5000000000000004</v>
      </c>
      <c r="AG50" s="17" cm="1">
        <f t="array" ref="AG50:AJ55">TRANSPOSE(V49:AA52)</f>
        <v>0</v>
      </c>
      <c r="AH50" s="18">
        <v>1</v>
      </c>
      <c r="AI50" s="18">
        <v>2</v>
      </c>
      <c r="AJ50" s="19">
        <v>-1</v>
      </c>
      <c r="AK50" s="11" t="s">
        <v>3</v>
      </c>
      <c r="AL50" s="94" cm="1">
        <f t="array" ref="AL50:AQ55">MMULT(AE50:AJ55,AL42:AQ47)/SQRT(6)</f>
        <v>7.3845583772265408</v>
      </c>
      <c r="AM50" s="95">
        <v>-1.0331131238478495</v>
      </c>
      <c r="AN50" s="95">
        <v>-1.6463837057826669</v>
      </c>
      <c r="AO50" s="95">
        <v>-4.2913427300399416</v>
      </c>
      <c r="AP50" s="95">
        <v>1.3178254816173498</v>
      </c>
      <c r="AQ50" s="96">
        <v>-13.056025278008621</v>
      </c>
      <c r="AS50" s="11">
        <v>1</v>
      </c>
      <c r="AT50" s="94" cm="1">
        <f t="array" ref="AT50:AT55">SOFTMAX(AL50:AL55)</f>
        <v>0.86821014845535183</v>
      </c>
      <c r="AU50" s="94" cm="1">
        <f t="array" ref="AU50:AU55">SOFTMAX(AM50:AM55)</f>
        <v>1.7947897381007101E-3</v>
      </c>
      <c r="AV50" s="94" cm="1">
        <f t="array" ref="AV50:AV55">SOFTMAX(AN50:AN55)</f>
        <v>1.5451945847745861E-2</v>
      </c>
      <c r="AW50" s="94" cm="1">
        <f t="array" ref="AW50:AW55">SOFTMAX(AO50:AO55)</f>
        <v>3.1059564236065993E-6</v>
      </c>
      <c r="AX50" s="94" cm="1">
        <f t="array" ref="AX50:AX55">SOFTMAX(AP50:AP55)</f>
        <v>0.46128258616699075</v>
      </c>
      <c r="AY50" s="94" cm="1">
        <f t="array" ref="AY50:AY55">SOFTMAX(AQ50:AQ55)</f>
        <v>8.7779388876963465E-9</v>
      </c>
      <c r="AZ50" s="7"/>
      <c r="BA50" s="7"/>
      <c r="BC50">
        <f>EXP(AL50)</f>
        <v>1610.9162205923844</v>
      </c>
      <c r="BD50" s="53">
        <f>BC50/$BC$56</f>
        <v>0.86821014845535183</v>
      </c>
      <c r="BE50">
        <f>EXP(AM50)</f>
        <v>0.35589728186617597</v>
      </c>
      <c r="BF50" s="53">
        <f>BE50/$BE$56</f>
        <v>1.7947897381007101E-3</v>
      </c>
      <c r="BG50">
        <f>EXP(AN50)</f>
        <v>0.19274567488425137</v>
      </c>
      <c r="BH50" s="53">
        <f>BG50/$BG$56</f>
        <v>1.5451945847745861E-2</v>
      </c>
      <c r="BI50">
        <f>EXP(AO50)</f>
        <v>1.3686535631414396E-2</v>
      </c>
      <c r="BJ50" s="53">
        <f>BI50/$BI$56</f>
        <v>3.1059564236065993E-6</v>
      </c>
      <c r="BK50">
        <f>EXP(AP50)</f>
        <v>3.7352900826908506</v>
      </c>
      <c r="BL50" s="53">
        <f>BK50/$BK$56</f>
        <v>0.46128258616699075</v>
      </c>
      <c r="BM50">
        <f>EXP(AQ50)</f>
        <v>2.1371758900711356E-6</v>
      </c>
      <c r="BN50" s="53">
        <f>BM50/$BM$56</f>
        <v>8.7779388876963465E-9</v>
      </c>
    </row>
    <row r="51" spans="8:66">
      <c r="H51" s="7"/>
      <c r="I51" s="7"/>
      <c r="N51" s="7"/>
      <c r="O51" s="33">
        <v>0</v>
      </c>
      <c r="P51" s="33">
        <v>1</v>
      </c>
      <c r="Q51" s="33">
        <v>0</v>
      </c>
      <c r="R51" s="12">
        <v>1</v>
      </c>
      <c r="S51" s="12">
        <v>0</v>
      </c>
      <c r="T51" s="11" t="s">
        <v>3</v>
      </c>
      <c r="U51" s="7"/>
      <c r="V51" s="14">
        <v>2</v>
      </c>
      <c r="W51" s="14">
        <v>3</v>
      </c>
      <c r="X51" s="14">
        <v>-2</v>
      </c>
      <c r="Y51" s="14">
        <v>2</v>
      </c>
      <c r="Z51" s="14">
        <v>-2</v>
      </c>
      <c r="AA51" s="14">
        <v>4</v>
      </c>
      <c r="AD51" s="11">
        <v>2</v>
      </c>
      <c r="AE51" s="106">
        <v>-0.9800000000000002</v>
      </c>
      <c r="AF51" s="107">
        <v>4.8900000000000006</v>
      </c>
      <c r="AG51" s="17">
        <v>0</v>
      </c>
      <c r="AH51" s="18">
        <v>3</v>
      </c>
      <c r="AI51" s="18">
        <v>3</v>
      </c>
      <c r="AJ51" s="19">
        <v>0</v>
      </c>
      <c r="AK51" s="11" t="s">
        <v>3</v>
      </c>
      <c r="AL51" s="97">
        <v>5.4988595235739597</v>
      </c>
      <c r="AM51" s="98">
        <v>5.2551761189960793</v>
      </c>
      <c r="AN51" s="98">
        <v>1.4211939487628003</v>
      </c>
      <c r="AO51" s="98">
        <v>8.1002176304096931</v>
      </c>
      <c r="AP51" s="98">
        <v>-0.99890191710698029</v>
      </c>
      <c r="AQ51" s="99">
        <v>-4.3307386900697047</v>
      </c>
      <c r="AS51" s="11">
        <v>2</v>
      </c>
      <c r="AT51" s="94">
        <v>0.13172743984947807</v>
      </c>
      <c r="AU51" s="94">
        <v>0.96601283451791065</v>
      </c>
      <c r="AV51" s="94">
        <v>0.33205897703001724</v>
      </c>
      <c r="AW51" s="94">
        <v>0.74779342971285123</v>
      </c>
      <c r="AX51" s="94">
        <v>4.5480489948180644E-2</v>
      </c>
      <c r="AY51" s="94">
        <v>5.4042616956937512E-5</v>
      </c>
      <c r="AZ51" s="7"/>
      <c r="BA51" s="7"/>
      <c r="BC51">
        <f t="shared" ref="BC51:BC55" si="21">EXP(AL51)</f>
        <v>244.41302595709578</v>
      </c>
      <c r="BD51" s="53">
        <f t="shared" ref="BD51:BD55" si="22">BC51/$BC$56</f>
        <v>0.13172743984947807</v>
      </c>
      <c r="BE51">
        <f t="shared" ref="BE51:BE55" si="23">EXP(AM51)</f>
        <v>191.555219396665</v>
      </c>
      <c r="BF51" s="53">
        <f t="shared" ref="BF51:BF55" si="24">BE51/$BE$56</f>
        <v>0.96601283451791065</v>
      </c>
      <c r="BG51">
        <f t="shared" ref="BG51:BG55" si="25">EXP(AN51)</f>
        <v>4.1420629000173195</v>
      </c>
      <c r="BH51" s="53">
        <f t="shared" ref="BH51:BH55" si="26">BG51/$BG$56</f>
        <v>0.33205897703001724</v>
      </c>
      <c r="BI51">
        <f t="shared" ref="BI51:BI55" si="27">EXP(AO51)</f>
        <v>3295.1851297443841</v>
      </c>
      <c r="BJ51" s="53">
        <f t="shared" ref="BJ51:BJ55" si="28">BI51/$BI$56</f>
        <v>0.74779342971285123</v>
      </c>
      <c r="BK51">
        <f t="shared" ref="BK51:BK55" si="29">EXP(AP51)</f>
        <v>0.3682836251656379</v>
      </c>
      <c r="BL51" s="53">
        <f t="shared" ref="BL51:BL55" si="30">BK51/$BK$56</f>
        <v>4.5480489948180644E-2</v>
      </c>
      <c r="BM51">
        <f t="shared" ref="BM51:BM55" si="31">EXP(AQ51)</f>
        <v>1.3157824345143902E-2</v>
      </c>
      <c r="BN51" s="53">
        <f t="shared" ref="BN51:BN55" si="32">BM51/$BM$56</f>
        <v>5.4042616956937512E-5</v>
      </c>
    </row>
    <row r="52" spans="8:66">
      <c r="H52" s="7"/>
      <c r="I52" s="7"/>
      <c r="N52" s="7"/>
      <c r="O52" s="33">
        <v>0</v>
      </c>
      <c r="P52" s="33">
        <v>0</v>
      </c>
      <c r="Q52" s="33">
        <v>0</v>
      </c>
      <c r="R52" s="12">
        <v>0</v>
      </c>
      <c r="S52" s="12">
        <v>1</v>
      </c>
      <c r="T52" s="11" t="s">
        <v>3</v>
      </c>
      <c r="V52" s="15">
        <v>-1</v>
      </c>
      <c r="W52" s="15">
        <v>0</v>
      </c>
      <c r="X52" s="15">
        <v>-1</v>
      </c>
      <c r="Y52" s="15">
        <v>-1</v>
      </c>
      <c r="Z52" s="15">
        <v>-1</v>
      </c>
      <c r="AA52" s="15">
        <v>-3</v>
      </c>
      <c r="AD52" s="11">
        <v>3</v>
      </c>
      <c r="AE52" s="106">
        <v>-0.99</v>
      </c>
      <c r="AF52" s="107">
        <v>-0.1</v>
      </c>
      <c r="AG52" s="17">
        <v>0</v>
      </c>
      <c r="AH52" s="18">
        <v>-3</v>
      </c>
      <c r="AI52" s="18">
        <v>-2</v>
      </c>
      <c r="AJ52" s="19">
        <v>-1</v>
      </c>
      <c r="AK52" s="11" t="s">
        <v>3</v>
      </c>
      <c r="AL52" s="97">
        <v>-4.9123700294935713</v>
      </c>
      <c r="AM52" s="98">
        <v>0.19644907737121065</v>
      </c>
      <c r="AN52" s="98">
        <v>-1.2287865294671814</v>
      </c>
      <c r="AO52" s="98">
        <v>-1.8729615069901109</v>
      </c>
      <c r="AP52" s="98">
        <v>5.7563008955404699E-2</v>
      </c>
      <c r="AQ52" s="99">
        <v>5.3858972216026073</v>
      </c>
      <c r="AS52" s="11">
        <v>3</v>
      </c>
      <c r="AT52" s="94">
        <v>3.9640279370502863E-6</v>
      </c>
      <c r="AU52" s="94">
        <v>6.1376999975575608E-3</v>
      </c>
      <c r="AV52" s="94">
        <v>2.3460827527185042E-2</v>
      </c>
      <c r="AW52" s="94">
        <v>3.4872652216943208E-5</v>
      </c>
      <c r="AX52" s="94">
        <v>0.13081032428019046</v>
      </c>
      <c r="AY52" s="94">
        <v>0.89663921740869124</v>
      </c>
      <c r="AZ52" s="7"/>
      <c r="BA52" s="7"/>
      <c r="BC52">
        <f t="shared" si="21"/>
        <v>7.3550360060137708E-3</v>
      </c>
      <c r="BD52" s="53">
        <f t="shared" si="22"/>
        <v>3.9640279370502863E-6</v>
      </c>
      <c r="BE52">
        <f t="shared" si="23"/>
        <v>1.2170733427261211</v>
      </c>
      <c r="BF52" s="53">
        <f t="shared" si="24"/>
        <v>6.1376999975575608E-3</v>
      </c>
      <c r="BG52">
        <f t="shared" si="25"/>
        <v>0.29264748139988928</v>
      </c>
      <c r="BH52" s="53">
        <f t="shared" si="26"/>
        <v>2.3460827527185042E-2</v>
      </c>
      <c r="BI52">
        <f t="shared" si="27"/>
        <v>0.15366789871922831</v>
      </c>
      <c r="BJ52" s="53">
        <f t="shared" si="28"/>
        <v>3.4872652216943208E-5</v>
      </c>
      <c r="BK52">
        <f t="shared" si="29"/>
        <v>1.0592520109148111</v>
      </c>
      <c r="BL52" s="53">
        <f t="shared" si="30"/>
        <v>0.13081032428019046</v>
      </c>
      <c r="BM52">
        <f t="shared" si="31"/>
        <v>218.30588502092058</v>
      </c>
      <c r="BN52" s="53">
        <f t="shared" si="32"/>
        <v>0.89663921740869124</v>
      </c>
    </row>
    <row r="53" spans="8:66">
      <c r="H53" s="7"/>
      <c r="I53" s="7"/>
      <c r="N53" s="7"/>
      <c r="P53" s="11"/>
      <c r="Q53" s="11"/>
      <c r="R53" s="11"/>
      <c r="S53" s="16" t="s">
        <v>7</v>
      </c>
      <c r="T53" s="11"/>
      <c r="U53" s="7"/>
      <c r="V53" s="11" t="s">
        <v>37</v>
      </c>
      <c r="W53" s="11"/>
      <c r="X53" s="11"/>
      <c r="Y53" s="11"/>
      <c r="Z53" s="11"/>
      <c r="AA53" s="11"/>
      <c r="AD53" s="11">
        <v>4</v>
      </c>
      <c r="AE53" s="106">
        <v>-3.7800000000000002</v>
      </c>
      <c r="AF53" s="107">
        <v>3.3000000000000003</v>
      </c>
      <c r="AG53" s="17">
        <v>0</v>
      </c>
      <c r="AH53" s="18">
        <v>1</v>
      </c>
      <c r="AI53" s="18">
        <v>2</v>
      </c>
      <c r="AJ53" s="19">
        <v>-1</v>
      </c>
      <c r="AK53" s="11" t="s">
        <v>3</v>
      </c>
      <c r="AL53" s="97">
        <v>-4.2913427300399416</v>
      </c>
      <c r="AM53" s="98">
        <v>1.5682449829878851</v>
      </c>
      <c r="AN53" s="98">
        <v>1.3930248167207937</v>
      </c>
      <c r="AO53" s="98">
        <v>7.0130524329044261</v>
      </c>
      <c r="AP53" s="98">
        <v>-1.4117225884240385</v>
      </c>
      <c r="AQ53" s="99">
        <v>2.9697613641503269</v>
      </c>
      <c r="AS53" s="11">
        <v>4</v>
      </c>
      <c r="AT53" s="94">
        <v>7.3764165885796846E-6</v>
      </c>
      <c r="AU53" s="94">
        <v>2.4197419236753184E-2</v>
      </c>
      <c r="AV53" s="94">
        <v>0.32283567988041828</v>
      </c>
      <c r="AW53" s="94">
        <v>0.25213422354896503</v>
      </c>
      <c r="AX53" s="94">
        <v>3.0098121775848842E-2</v>
      </c>
      <c r="AY53" s="94">
        <v>8.0039295950127959E-2</v>
      </c>
      <c r="AZ53" s="7"/>
      <c r="BA53" s="7"/>
      <c r="BC53">
        <f t="shared" si="21"/>
        <v>1.3686535631414396E-2</v>
      </c>
      <c r="BD53" s="53">
        <f t="shared" si="22"/>
        <v>7.3764165885796846E-6</v>
      </c>
      <c r="BE53">
        <f t="shared" si="23"/>
        <v>4.7982198425370912</v>
      </c>
      <c r="BF53" s="53">
        <f t="shared" si="24"/>
        <v>2.4197419236753184E-2</v>
      </c>
      <c r="BG53">
        <f t="shared" si="25"/>
        <v>4.0270126240666837</v>
      </c>
      <c r="BH53" s="53">
        <f t="shared" si="26"/>
        <v>0.32283567988041828</v>
      </c>
      <c r="BI53">
        <f t="shared" si="27"/>
        <v>1111.0407114130835</v>
      </c>
      <c r="BJ53" s="53">
        <f t="shared" si="28"/>
        <v>0.25213422354896503</v>
      </c>
      <c r="BK53">
        <f t="shared" si="29"/>
        <v>0.24372308677668186</v>
      </c>
      <c r="BL53" s="53">
        <f t="shared" si="30"/>
        <v>3.0098121775848842E-2</v>
      </c>
      <c r="BM53">
        <f t="shared" si="31"/>
        <v>19.487268680196255</v>
      </c>
      <c r="BN53" s="53">
        <f t="shared" si="32"/>
        <v>8.0039295950127959E-2</v>
      </c>
    </row>
    <row r="54" spans="8:66">
      <c r="H54" s="7"/>
      <c r="I54" s="7"/>
      <c r="N54" s="7"/>
      <c r="O54" s="33">
        <v>0</v>
      </c>
      <c r="P54" s="33">
        <v>1</v>
      </c>
      <c r="Q54" s="33">
        <v>0</v>
      </c>
      <c r="R54" s="12">
        <v>2</v>
      </c>
      <c r="S54" s="12">
        <v>0</v>
      </c>
      <c r="T54" s="11" t="s">
        <v>3</v>
      </c>
      <c r="U54" s="7"/>
      <c r="V54" s="13" cm="1">
        <f t="array" ref="V54:AA57">MMULT(R54:S57,V20:AA21)</f>
        <v>4</v>
      </c>
      <c r="W54" s="13">
        <v>6</v>
      </c>
      <c r="X54" s="13">
        <v>-4</v>
      </c>
      <c r="Y54" s="13">
        <v>4</v>
      </c>
      <c r="Z54" s="13">
        <v>-4</v>
      </c>
      <c r="AA54" s="13">
        <v>8</v>
      </c>
      <c r="AD54" s="11">
        <v>5</v>
      </c>
      <c r="AE54" s="106">
        <v>0.9</v>
      </c>
      <c r="AF54" s="107">
        <v>-0.32</v>
      </c>
      <c r="AG54" s="17">
        <v>0</v>
      </c>
      <c r="AH54" s="18">
        <v>-3</v>
      </c>
      <c r="AI54" s="18">
        <v>-2</v>
      </c>
      <c r="AJ54" s="19">
        <v>-1</v>
      </c>
      <c r="AK54" s="11" t="s">
        <v>3</v>
      </c>
      <c r="AL54" s="97">
        <v>-2.3564091325574177</v>
      </c>
      <c r="AM54" s="98">
        <v>-0.99890191710697995</v>
      </c>
      <c r="AN54" s="98">
        <v>-1.9836784433639105</v>
      </c>
      <c r="AO54" s="98">
        <v>-5.0859572025988058</v>
      </c>
      <c r="AP54" s="98">
        <v>0.78073403068309177</v>
      </c>
      <c r="AQ54" s="99">
        <v>1.3639575384397662</v>
      </c>
      <c r="AS54" s="11">
        <v>5</v>
      </c>
      <c r="AT54" s="94">
        <v>5.1071242058508992E-5</v>
      </c>
      <c r="AU54" s="94">
        <v>1.8572540585077039E-3</v>
      </c>
      <c r="AV54" s="94">
        <v>1.1028029880500164E-2</v>
      </c>
      <c r="AW54" s="94">
        <v>1.403132479200928E-6</v>
      </c>
      <c r="AX54" s="94">
        <v>0.26959461085862557</v>
      </c>
      <c r="AY54" s="94">
        <v>1.6066138971330371E-2</v>
      </c>
      <c r="AZ54" s="7"/>
      <c r="BA54" s="7"/>
      <c r="BC54">
        <f t="shared" si="21"/>
        <v>9.4759883173702611E-2</v>
      </c>
      <c r="BD54" s="53">
        <f t="shared" si="22"/>
        <v>5.1071242058508992E-5</v>
      </c>
      <c r="BE54">
        <f t="shared" si="23"/>
        <v>0.36828362516563801</v>
      </c>
      <c r="BF54" s="53">
        <f t="shared" si="24"/>
        <v>1.8572540585077039E-3</v>
      </c>
      <c r="BG54">
        <f t="shared" si="25"/>
        <v>0.13756229040051798</v>
      </c>
      <c r="BH54" s="53">
        <f t="shared" si="26"/>
        <v>1.1028029880500164E-2</v>
      </c>
      <c r="BI54">
        <f t="shared" si="27"/>
        <v>6.1829659058380611E-3</v>
      </c>
      <c r="BJ54" s="53">
        <f t="shared" si="28"/>
        <v>1.403132479200928E-6</v>
      </c>
      <c r="BK54">
        <f t="shared" si="29"/>
        <v>2.1830741209089779</v>
      </c>
      <c r="BL54" s="53">
        <f t="shared" si="30"/>
        <v>0.26959461085862557</v>
      </c>
      <c r="BM54">
        <f t="shared" si="31"/>
        <v>3.9116431881505855</v>
      </c>
      <c r="BN54" s="53">
        <f t="shared" si="32"/>
        <v>1.6066138971330371E-2</v>
      </c>
    </row>
    <row r="55" spans="8:66">
      <c r="H55" s="7"/>
      <c r="I55" s="7"/>
      <c r="K55" s="7"/>
      <c r="O55" s="33">
        <v>1</v>
      </c>
      <c r="P55" s="33">
        <v>0</v>
      </c>
      <c r="Q55" s="33">
        <v>0</v>
      </c>
      <c r="R55" s="12">
        <v>0</v>
      </c>
      <c r="S55" s="12">
        <v>1</v>
      </c>
      <c r="T55" s="11" t="s">
        <v>3</v>
      </c>
      <c r="U55" s="7"/>
      <c r="V55" s="14">
        <v>-1</v>
      </c>
      <c r="W55" s="14">
        <v>0</v>
      </c>
      <c r="X55" s="14">
        <v>-1</v>
      </c>
      <c r="Y55" s="14">
        <v>-1</v>
      </c>
      <c r="Z55" s="14">
        <v>-1</v>
      </c>
      <c r="AA55" s="14">
        <v>-3</v>
      </c>
      <c r="AD55" s="11">
        <v>6</v>
      </c>
      <c r="AE55" s="106">
        <v>-5.23</v>
      </c>
      <c r="AF55" s="107">
        <v>-0.15000000000000013</v>
      </c>
      <c r="AG55" s="17">
        <v>0</v>
      </c>
      <c r="AH55" s="18">
        <v>1</v>
      </c>
      <c r="AI55" s="18">
        <v>4</v>
      </c>
      <c r="AJ55" s="19">
        <v>-3</v>
      </c>
      <c r="AK55" s="11" t="s">
        <v>3</v>
      </c>
      <c r="AL55" s="100">
        <v>-17.955004763574976</v>
      </c>
      <c r="AM55" s="101">
        <v>-14.536945951666283</v>
      </c>
      <c r="AN55" s="101">
        <v>1.3034143169639758</v>
      </c>
      <c r="AO55" s="101">
        <v>-1.9292181214160298</v>
      </c>
      <c r="AP55" s="101">
        <v>-0.67728391387954912</v>
      </c>
      <c r="AQ55" s="102">
        <v>0.56150469870399977</v>
      </c>
      <c r="AS55" s="11">
        <v>6</v>
      </c>
      <c r="AT55" s="94">
        <v>8.5860302074488846E-12</v>
      </c>
      <c r="AU55" s="94">
        <v>2.4511703580932865E-9</v>
      </c>
      <c r="AV55" s="94">
        <v>0.29516453983413327</v>
      </c>
      <c r="AW55" s="94">
        <v>3.2964997064136507E-5</v>
      </c>
      <c r="AX55" s="94">
        <v>6.2733866970163768E-2</v>
      </c>
      <c r="AY55" s="94">
        <v>7.2012962749546851E-3</v>
      </c>
      <c r="AZ55" s="7"/>
      <c r="BA55" s="7"/>
      <c r="BC55">
        <f t="shared" si="21"/>
        <v>1.5930907230563075E-8</v>
      </c>
      <c r="BD55" s="53">
        <f t="shared" si="22"/>
        <v>8.5860302074488846E-12</v>
      </c>
      <c r="BE55">
        <f t="shared" si="23"/>
        <v>4.8605407603873392E-7</v>
      </c>
      <c r="BF55" s="53">
        <f t="shared" si="24"/>
        <v>2.4511703580932865E-9</v>
      </c>
      <c r="BG55">
        <f t="shared" si="25"/>
        <v>3.6818462213630463</v>
      </c>
      <c r="BH55" s="53">
        <f t="shared" si="26"/>
        <v>0.29516453983413327</v>
      </c>
      <c r="BI55">
        <f t="shared" si="27"/>
        <v>0.14526173113010851</v>
      </c>
      <c r="BJ55" s="53">
        <f t="shared" si="28"/>
        <v>3.2964997064136507E-5</v>
      </c>
      <c r="BK55">
        <f t="shared" si="29"/>
        <v>0.50799487812806654</v>
      </c>
      <c r="BL55" s="53">
        <f t="shared" si="30"/>
        <v>6.2733866970163768E-2</v>
      </c>
      <c r="BM55">
        <f t="shared" si="31"/>
        <v>1.7533087177975613</v>
      </c>
      <c r="BN55" s="53">
        <f t="shared" si="32"/>
        <v>7.2012962749546851E-3</v>
      </c>
    </row>
    <row r="56" spans="8:66">
      <c r="O56" s="33">
        <v>1</v>
      </c>
      <c r="P56" s="33">
        <v>0</v>
      </c>
      <c r="Q56" s="33">
        <v>0</v>
      </c>
      <c r="R56" s="12">
        <v>1</v>
      </c>
      <c r="S56" s="12">
        <v>0</v>
      </c>
      <c r="T56" s="11" t="s">
        <v>3</v>
      </c>
      <c r="U56" s="7"/>
      <c r="V56" s="14">
        <v>2</v>
      </c>
      <c r="W56" s="14">
        <v>3</v>
      </c>
      <c r="X56" s="14">
        <v>-2</v>
      </c>
      <c r="Y56" s="14">
        <v>2</v>
      </c>
      <c r="Z56" s="14">
        <v>-2</v>
      </c>
      <c r="AA56" s="14">
        <v>4</v>
      </c>
      <c r="AZ56" s="7"/>
      <c r="BA56" s="7"/>
      <c r="BC56">
        <f>SUM(BC50:BC55)</f>
        <v>1855.4450480202222</v>
      </c>
      <c r="BE56">
        <f>SUM(BE50:BE55)</f>
        <v>198.29469397501407</v>
      </c>
      <c r="BG56">
        <f t="shared" ref="BG56" si="33">SUM(BG50:BG55)</f>
        <v>12.47387719213171</v>
      </c>
      <c r="BI56">
        <f t="shared" ref="BI56" si="34">SUM(BI50:BI55)</f>
        <v>4406.5446402888538</v>
      </c>
      <c r="BK56">
        <f t="shared" ref="BK56" si="35">SUM(BK50:BK55)</f>
        <v>8.0976178045850258</v>
      </c>
      <c r="BM56">
        <f t="shared" ref="BM56" si="36">SUM(BM50:BM55)</f>
        <v>243.47126556858601</v>
      </c>
    </row>
    <row r="57" spans="8:66">
      <c r="O57" s="33">
        <v>0</v>
      </c>
      <c r="P57" s="33">
        <v>0</v>
      </c>
      <c r="Q57" s="33">
        <v>0</v>
      </c>
      <c r="R57" s="12">
        <v>1</v>
      </c>
      <c r="S57" s="12">
        <v>-1</v>
      </c>
      <c r="T57" s="11" t="s">
        <v>3</v>
      </c>
      <c r="U57" s="7"/>
      <c r="V57" s="15">
        <v>3</v>
      </c>
      <c r="W57" s="15">
        <v>3</v>
      </c>
      <c r="X57" s="15">
        <v>-1</v>
      </c>
      <c r="Y57" s="15">
        <v>3</v>
      </c>
      <c r="Z57" s="15">
        <v>-1</v>
      </c>
      <c r="AA57" s="15">
        <v>7</v>
      </c>
      <c r="AL57" s="11" t="s">
        <v>37</v>
      </c>
      <c r="AM57" s="11"/>
      <c r="AN57" s="11"/>
      <c r="AO57" s="7"/>
      <c r="AP57" s="11"/>
      <c r="AQ57" s="11"/>
      <c r="AS57" s="11" t="s">
        <v>8</v>
      </c>
      <c r="AT57" s="11" t="s">
        <v>1</v>
      </c>
      <c r="AU57" s="11" t="s">
        <v>1</v>
      </c>
      <c r="AV57" s="11" t="s">
        <v>1</v>
      </c>
      <c r="AW57" s="11" t="s">
        <v>1</v>
      </c>
      <c r="AX57" s="11" t="s">
        <v>1</v>
      </c>
      <c r="AY57" s="11" t="s">
        <v>1</v>
      </c>
      <c r="AZ57" s="7"/>
      <c r="BA57" s="7"/>
    </row>
    <row r="58" spans="8:66">
      <c r="R58" s="7"/>
      <c r="S58" s="7"/>
      <c r="T58" s="7"/>
      <c r="U58" s="7"/>
      <c r="AG58" s="11"/>
      <c r="AH58" s="11"/>
      <c r="AI58" s="11"/>
      <c r="AJ58" s="11"/>
      <c r="AK58" s="11"/>
      <c r="AL58" s="13">
        <f>V54</f>
        <v>4</v>
      </c>
      <c r="AM58" s="13">
        <f t="shared" ref="AM58:AQ58" si="37">W54</f>
        <v>6</v>
      </c>
      <c r="AN58" s="13">
        <f t="shared" si="37"/>
        <v>-4</v>
      </c>
      <c r="AO58" s="13">
        <f t="shared" si="37"/>
        <v>4</v>
      </c>
      <c r="AP58" s="13">
        <f t="shared" si="37"/>
        <v>-4</v>
      </c>
      <c r="AQ58" s="13">
        <f t="shared" si="37"/>
        <v>8</v>
      </c>
      <c r="AS58" s="11" t="s">
        <v>3</v>
      </c>
      <c r="AT58" s="56" cm="1">
        <f t="array" ref="AT58:AY61">MMULT(AL58:AQ61,AT50:AY55)</f>
        <v>4.2630145975733367</v>
      </c>
      <c r="AU58" s="56">
        <v>5.8680660463919807</v>
      </c>
      <c r="AV58" s="56">
        <v>5.5688652541350852</v>
      </c>
      <c r="AW58" s="56">
        <v>5.4954285131363907</v>
      </c>
      <c r="AX58" s="56">
        <v>1.1386569666664883</v>
      </c>
      <c r="AY58" s="56">
        <v>-3.2727295807064398</v>
      </c>
      <c r="AZ58" s="7"/>
      <c r="BA58" s="7"/>
    </row>
    <row r="59" spans="8:66">
      <c r="H59" s="7"/>
      <c r="I59" s="7"/>
      <c r="R59" s="7"/>
      <c r="AG59" s="11"/>
      <c r="AH59" s="11"/>
      <c r="AI59" s="11"/>
      <c r="AJ59" s="7"/>
      <c r="AK59" s="7"/>
      <c r="AL59" s="13">
        <f t="shared" ref="AL59:AL61" si="38">V55</f>
        <v>-1</v>
      </c>
      <c r="AM59" s="13">
        <f t="shared" ref="AM59:AM61" si="39">W55</f>
        <v>0</v>
      </c>
      <c r="AN59" s="13">
        <f t="shared" ref="AN59:AN61" si="40">X55</f>
        <v>-1</v>
      </c>
      <c r="AO59" s="13">
        <f t="shared" ref="AO59:AO61" si="41">Y55</f>
        <v>-1</v>
      </c>
      <c r="AP59" s="13">
        <f t="shared" ref="AP59:AP61" si="42">Z55</f>
        <v>-1</v>
      </c>
      <c r="AQ59" s="13">
        <f t="shared" ref="AQ59:AQ61" si="43">AA55</f>
        <v>-3</v>
      </c>
      <c r="AS59" s="11" t="s">
        <v>3</v>
      </c>
      <c r="AT59" s="56">
        <v>-0.86827256016769394</v>
      </c>
      <c r="AU59" s="56">
        <v>-3.3987170384430228E-2</v>
      </c>
      <c r="AV59" s="56">
        <v>-1.2582701026382492</v>
      </c>
      <c r="AW59" s="56">
        <v>-0.25227250028127723</v>
      </c>
      <c r="AX59" s="56">
        <v>-1.079987243992147</v>
      </c>
      <c r="AY59" s="56">
        <v>-1.0143485499329525</v>
      </c>
      <c r="AZ59" s="7"/>
      <c r="BA59" s="7"/>
    </row>
    <row r="60" spans="8:66">
      <c r="H60" s="7"/>
      <c r="I60" s="7"/>
      <c r="R60" s="7"/>
      <c r="AG60" s="11"/>
      <c r="AH60" s="7"/>
      <c r="AI60" s="7"/>
      <c r="AJ60" s="7"/>
      <c r="AK60" s="7"/>
      <c r="AL60" s="13">
        <f t="shared" si="38"/>
        <v>2</v>
      </c>
      <c r="AM60" s="13">
        <f t="shared" si="39"/>
        <v>3</v>
      </c>
      <c r="AN60" s="13">
        <f t="shared" si="40"/>
        <v>-2</v>
      </c>
      <c r="AO60" s="13">
        <f t="shared" si="41"/>
        <v>2</v>
      </c>
      <c r="AP60" s="13">
        <f t="shared" si="42"/>
        <v>-2</v>
      </c>
      <c r="AQ60" s="13">
        <f t="shared" si="43"/>
        <v>4</v>
      </c>
      <c r="AS60" s="11" t="s">
        <v>3</v>
      </c>
      <c r="AT60" s="56">
        <v>2.1315072987866683</v>
      </c>
      <c r="AU60" s="56">
        <v>2.9340330231959904</v>
      </c>
      <c r="AV60" s="56">
        <v>2.7844326270675426</v>
      </c>
      <c r="AW60" s="56">
        <v>2.7477142565681953</v>
      </c>
      <c r="AX60" s="56">
        <v>0.56932848333324415</v>
      </c>
      <c r="AY60" s="56">
        <v>-1.6363647903532199</v>
      </c>
      <c r="AZ60" s="7"/>
      <c r="BA60" s="7"/>
    </row>
    <row r="61" spans="8:66">
      <c r="H61" s="7"/>
      <c r="I61" s="7"/>
      <c r="K61" s="7"/>
      <c r="R61" s="7"/>
      <c r="S61" s="7"/>
      <c r="T61" s="7"/>
      <c r="U61" s="7"/>
      <c r="AG61" s="11"/>
      <c r="AH61" s="7"/>
      <c r="AI61" s="7"/>
      <c r="AJ61" s="7"/>
      <c r="AK61" s="7"/>
      <c r="AL61" s="55">
        <f t="shared" si="38"/>
        <v>3</v>
      </c>
      <c r="AM61" s="55">
        <f t="shared" si="39"/>
        <v>3</v>
      </c>
      <c r="AN61" s="55">
        <f t="shared" si="40"/>
        <v>-1</v>
      </c>
      <c r="AO61" s="55">
        <f t="shared" si="41"/>
        <v>3</v>
      </c>
      <c r="AP61" s="55">
        <f t="shared" si="42"/>
        <v>-1</v>
      </c>
      <c r="AQ61" s="55">
        <f t="shared" si="43"/>
        <v>7</v>
      </c>
      <c r="AR61" s="7"/>
      <c r="AS61" s="11" t="s">
        <v>3</v>
      </c>
      <c r="AT61" s="56">
        <v>2.9997798589543616</v>
      </c>
      <c r="AU61" s="56">
        <v>2.9680201935804207</v>
      </c>
      <c r="AV61" s="56">
        <v>4.042702729705792</v>
      </c>
      <c r="AW61" s="56">
        <v>2.9999867568494722</v>
      </c>
      <c r="AX61" s="56">
        <v>1.6493157273253913</v>
      </c>
      <c r="AY61" s="56">
        <v>-0.62201624042026749</v>
      </c>
      <c r="AZ61" s="7"/>
      <c r="BA61" s="7"/>
    </row>
    <row r="62" spans="8:66">
      <c r="H62" s="7"/>
      <c r="I62" s="7"/>
      <c r="K62" s="7"/>
      <c r="R62" s="7"/>
      <c r="S62" s="7"/>
      <c r="T62" s="7"/>
      <c r="U62" s="7"/>
    </row>
    <row r="63" spans="8:66">
      <c r="H63" s="7"/>
      <c r="I63" s="7"/>
      <c r="K63" s="7"/>
      <c r="R63" s="7"/>
      <c r="S63" s="7"/>
      <c r="T63" s="7"/>
      <c r="U63" s="7"/>
      <c r="AD63" s="11"/>
      <c r="AE63" s="7"/>
      <c r="AF63" s="7"/>
      <c r="AG63" s="7"/>
      <c r="AH63" s="7"/>
      <c r="AI63" s="11"/>
      <c r="AJ63" s="11"/>
      <c r="AK63" s="11"/>
      <c r="AL63" s="11"/>
      <c r="AM63" s="11"/>
      <c r="AN63" s="11"/>
    </row>
    <row r="64" spans="8:66">
      <c r="H64" s="7"/>
      <c r="I64" s="7"/>
      <c r="J64" s="7"/>
      <c r="K64" s="7"/>
      <c r="L64" s="7"/>
      <c r="M64" s="7"/>
      <c r="N64" s="7"/>
      <c r="O64" s="11"/>
      <c r="P64" s="11"/>
      <c r="Q64" s="11"/>
      <c r="R64" s="11"/>
      <c r="S64" s="11"/>
      <c r="T64" s="11"/>
      <c r="U64" s="11"/>
      <c r="V64" s="7"/>
      <c r="W64" s="11"/>
      <c r="X64" s="11"/>
      <c r="Y64" s="11"/>
      <c r="Z64" s="11"/>
      <c r="AA64" s="11"/>
      <c r="AD64" s="7"/>
      <c r="AE64" s="11"/>
      <c r="AF64" s="11"/>
      <c r="AG64" s="7"/>
      <c r="AH64" s="11"/>
      <c r="AI64" s="11"/>
      <c r="AJ64" s="11"/>
      <c r="AK64" s="11"/>
      <c r="AM64" s="11"/>
      <c r="AN64" s="11"/>
      <c r="AQ64" s="7"/>
      <c r="AR64" s="7"/>
      <c r="AS64" s="7"/>
      <c r="AT64" s="7"/>
      <c r="AU64" s="7"/>
      <c r="AV64" s="7"/>
      <c r="AW64" s="7"/>
      <c r="AX64" s="7"/>
    </row>
    <row r="65" spans="8:66">
      <c r="H65" s="7"/>
      <c r="I65" s="7"/>
      <c r="J65" s="7"/>
      <c r="K65" s="7"/>
      <c r="L65" s="7"/>
      <c r="M65" s="7"/>
      <c r="N65" s="7"/>
      <c r="O65" s="11"/>
      <c r="P65" s="11"/>
      <c r="Q65" s="11"/>
      <c r="R65" s="11"/>
      <c r="S65" s="11"/>
      <c r="T65" s="11"/>
      <c r="U65" s="11"/>
      <c r="V65" s="7"/>
      <c r="W65" s="11"/>
      <c r="X65" s="11"/>
      <c r="Y65" s="11"/>
      <c r="Z65" s="11"/>
      <c r="AA65" s="11"/>
      <c r="AD65" s="7"/>
      <c r="AE65" s="11"/>
      <c r="AF65" s="11"/>
      <c r="AG65" s="7"/>
      <c r="AH65" s="11"/>
      <c r="AI65" s="11"/>
      <c r="AJ65" s="11"/>
      <c r="AK65" s="11"/>
      <c r="AL65" s="11"/>
      <c r="AM65" s="11"/>
      <c r="AN65" s="11"/>
      <c r="AQ65" s="7"/>
      <c r="AR65" s="7"/>
      <c r="AS65" s="7"/>
      <c r="AT65" s="7"/>
      <c r="AU65" s="7"/>
      <c r="AV65" s="7"/>
      <c r="AW65" s="7"/>
      <c r="AX65" s="7"/>
    </row>
    <row r="66" spans="8:66">
      <c r="H66" s="7"/>
      <c r="I66" s="7"/>
      <c r="J66" s="7"/>
      <c r="K66" s="7"/>
      <c r="L66" s="7"/>
      <c r="M66" s="7"/>
      <c r="N66" s="7"/>
      <c r="O66" s="11"/>
      <c r="P66" s="11"/>
      <c r="Q66" s="11"/>
      <c r="R66" s="11"/>
      <c r="S66" s="11"/>
      <c r="T66" s="11"/>
      <c r="U66" s="11"/>
      <c r="V66" s="7"/>
      <c r="W66" s="11"/>
      <c r="X66" s="11"/>
      <c r="Y66" s="11"/>
      <c r="Z66" s="11"/>
      <c r="AA66" s="11"/>
      <c r="AD66" s="7"/>
      <c r="AE66" s="11"/>
      <c r="AF66" s="11"/>
      <c r="AG66" s="7"/>
      <c r="AH66" s="11"/>
      <c r="AI66" s="11"/>
      <c r="AJ66" s="11"/>
      <c r="AK66" s="11" t="s">
        <v>18</v>
      </c>
      <c r="AL66" s="13" cm="1">
        <f t="array" ref="AL66:AQ67">V37:AA38</f>
        <v>3.7199999999999998</v>
      </c>
      <c r="AM66" s="13">
        <v>-0.9800000000000002</v>
      </c>
      <c r="AN66" s="13">
        <v>-0.99</v>
      </c>
      <c r="AO66" s="13">
        <v>-3.7800000000000002</v>
      </c>
      <c r="AP66" s="13">
        <v>0.9</v>
      </c>
      <c r="AQ66" s="13">
        <v>-5.23</v>
      </c>
      <c r="AR66" s="7"/>
      <c r="AS66" s="7"/>
      <c r="AT66" s="7"/>
      <c r="AU66" s="7"/>
      <c r="AV66" s="7"/>
      <c r="AW66" s="7"/>
      <c r="AX66" s="7"/>
    </row>
    <row r="67" spans="8:66">
      <c r="H67" s="7"/>
      <c r="I67" s="7"/>
      <c r="J67" s="7"/>
      <c r="N67" s="7"/>
      <c r="P67" s="11"/>
      <c r="Q67" s="11"/>
      <c r="R67" s="11"/>
      <c r="S67" s="11" t="s">
        <v>2</v>
      </c>
      <c r="T67" s="11"/>
      <c r="U67" s="7"/>
      <c r="V67" s="11" t="s">
        <v>19</v>
      </c>
      <c r="W67" s="11"/>
      <c r="X67" s="11"/>
      <c r="Y67" s="11"/>
      <c r="Z67" s="11"/>
      <c r="AA67" s="11"/>
      <c r="AG67" s="11"/>
      <c r="AH67" s="11"/>
      <c r="AI67" s="11"/>
      <c r="AJ67" s="7"/>
      <c r="AK67" s="7"/>
      <c r="AL67" s="14">
        <v>3.5000000000000004</v>
      </c>
      <c r="AM67" s="14">
        <v>4.8900000000000006</v>
      </c>
      <c r="AN67" s="14">
        <v>-0.1</v>
      </c>
      <c r="AO67" s="14">
        <v>3.3000000000000003</v>
      </c>
      <c r="AP67" s="14">
        <v>-0.32</v>
      </c>
      <c r="AQ67" s="14">
        <v>-0.15000000000000013</v>
      </c>
      <c r="AT67" s="7"/>
      <c r="AU67" s="7"/>
      <c r="AV67" s="7"/>
      <c r="AW67" s="7"/>
      <c r="AX67" s="7"/>
      <c r="AY67" s="7"/>
      <c r="AZ67" s="7"/>
      <c r="BA67" s="7"/>
    </row>
    <row r="68" spans="8:66">
      <c r="H68" s="7"/>
      <c r="I68" s="7"/>
      <c r="N68" s="7"/>
      <c r="O68" s="33">
        <v>0</v>
      </c>
      <c r="P68" s="33">
        <v>0</v>
      </c>
      <c r="Q68" s="12">
        <v>0</v>
      </c>
      <c r="R68" s="12">
        <v>-1</v>
      </c>
      <c r="S68" s="12">
        <v>-1</v>
      </c>
      <c r="T68" s="11" t="s">
        <v>3</v>
      </c>
      <c r="U68" s="7"/>
      <c r="V68" s="13" cm="1">
        <f t="array" ref="V68:AA71">MMULT(Q68:S71,_xlfn.ANCHORARRAY(V15))</f>
        <v>-6</v>
      </c>
      <c r="W68" s="13">
        <v>-7</v>
      </c>
      <c r="X68" s="13">
        <v>-2</v>
      </c>
      <c r="Y68" s="13">
        <v>-6</v>
      </c>
      <c r="Z68" s="13">
        <v>0</v>
      </c>
      <c r="AA68" s="13">
        <v>1</v>
      </c>
      <c r="AG68" s="11"/>
      <c r="AH68" s="11"/>
      <c r="AI68" s="11"/>
      <c r="AJ68" s="7"/>
      <c r="AK68" s="35" t="s">
        <v>19</v>
      </c>
      <c r="AL68" s="13">
        <f>V68</f>
        <v>-6</v>
      </c>
      <c r="AM68" s="13">
        <f t="shared" ref="AM68:AM71" si="44">W68</f>
        <v>-7</v>
      </c>
      <c r="AN68" s="13">
        <f t="shared" ref="AN68:AN71" si="45">X68</f>
        <v>-2</v>
      </c>
      <c r="AO68" s="13">
        <f t="shared" ref="AO68:AO71" si="46">Y68</f>
        <v>-6</v>
      </c>
      <c r="AP68" s="13">
        <f t="shared" ref="AP68:AP71" si="47">Z68</f>
        <v>0</v>
      </c>
      <c r="AQ68" s="13">
        <f t="shared" ref="AQ68:AQ71" si="48">AA68</f>
        <v>1</v>
      </c>
      <c r="AT68" s="7"/>
      <c r="AU68" s="7"/>
      <c r="AV68" s="7"/>
      <c r="AW68" s="7"/>
      <c r="AX68" s="7"/>
      <c r="AY68" s="7"/>
      <c r="AZ68" s="7"/>
      <c r="BA68" s="7"/>
    </row>
    <row r="69" spans="8:66">
      <c r="H69" s="7"/>
      <c r="I69" s="7"/>
      <c r="N69" s="7"/>
      <c r="O69" s="33">
        <v>0</v>
      </c>
      <c r="P69" s="33">
        <v>0</v>
      </c>
      <c r="Q69" s="12">
        <v>1</v>
      </c>
      <c r="R69" s="12">
        <v>1</v>
      </c>
      <c r="S69" s="12">
        <v>-1</v>
      </c>
      <c r="T69" s="11" t="s">
        <v>3</v>
      </c>
      <c r="U69" s="7"/>
      <c r="V69" s="14">
        <v>2</v>
      </c>
      <c r="W69" s="14">
        <v>1</v>
      </c>
      <c r="X69" s="14">
        <v>0</v>
      </c>
      <c r="Y69" s="14">
        <v>2</v>
      </c>
      <c r="Z69" s="14">
        <v>-1</v>
      </c>
      <c r="AA69" s="14">
        <v>3</v>
      </c>
      <c r="AG69" s="11"/>
      <c r="AH69" s="11"/>
      <c r="AI69" s="11"/>
      <c r="AJ69" s="7"/>
      <c r="AK69" s="11"/>
      <c r="AL69" s="13">
        <f t="shared" ref="AL69:AL71" si="49">V69</f>
        <v>2</v>
      </c>
      <c r="AM69" s="13">
        <f t="shared" si="44"/>
        <v>1</v>
      </c>
      <c r="AN69" s="13">
        <f t="shared" si="45"/>
        <v>0</v>
      </c>
      <c r="AO69" s="13">
        <f t="shared" si="46"/>
        <v>2</v>
      </c>
      <c r="AP69" s="13">
        <f t="shared" si="47"/>
        <v>-1</v>
      </c>
      <c r="AQ69" s="13">
        <f t="shared" si="48"/>
        <v>3</v>
      </c>
      <c r="AT69" s="7"/>
      <c r="AU69" s="7"/>
      <c r="AV69" s="7"/>
      <c r="AW69" s="7"/>
      <c r="AX69" s="7"/>
      <c r="AY69" s="7"/>
      <c r="AZ69" s="7"/>
      <c r="BA69" s="7"/>
    </row>
    <row r="70" spans="8:66">
      <c r="H70" s="7"/>
      <c r="I70" s="7"/>
      <c r="N70" s="7"/>
      <c r="O70" s="33">
        <v>1</v>
      </c>
      <c r="P70" s="33">
        <v>0</v>
      </c>
      <c r="Q70" s="12">
        <v>1</v>
      </c>
      <c r="R70" s="12">
        <v>0</v>
      </c>
      <c r="S70" s="12">
        <v>1</v>
      </c>
      <c r="T70" s="11" t="s">
        <v>3</v>
      </c>
      <c r="U70" s="7"/>
      <c r="V70" s="14">
        <v>8</v>
      </c>
      <c r="W70" s="14">
        <v>12</v>
      </c>
      <c r="X70" s="14">
        <v>1</v>
      </c>
      <c r="Y70" s="14">
        <v>8</v>
      </c>
      <c r="Z70" s="14">
        <v>-1</v>
      </c>
      <c r="AA70" s="14">
        <v>7</v>
      </c>
      <c r="AG70" s="11"/>
      <c r="AH70" s="11"/>
      <c r="AI70" s="11"/>
      <c r="AJ70" s="7"/>
      <c r="AK70" s="11"/>
      <c r="AL70" s="13">
        <f t="shared" si="49"/>
        <v>8</v>
      </c>
      <c r="AM70" s="13">
        <f t="shared" si="44"/>
        <v>12</v>
      </c>
      <c r="AN70" s="13">
        <f t="shared" si="45"/>
        <v>1</v>
      </c>
      <c r="AO70" s="13">
        <f t="shared" si="46"/>
        <v>8</v>
      </c>
      <c r="AP70" s="13">
        <f t="shared" si="47"/>
        <v>-1</v>
      </c>
      <c r="AQ70" s="13">
        <f t="shared" si="48"/>
        <v>7</v>
      </c>
      <c r="AT70" s="7"/>
      <c r="AU70" s="7"/>
      <c r="AV70" s="7"/>
      <c r="AW70" s="7"/>
      <c r="AX70" s="7"/>
      <c r="AY70" s="7"/>
      <c r="AZ70" s="7"/>
      <c r="BA70" s="7"/>
    </row>
    <row r="71" spans="8:66">
      <c r="O71" s="33">
        <v>1</v>
      </c>
      <c r="P71" s="33">
        <v>0</v>
      </c>
      <c r="Q71" s="12">
        <v>2</v>
      </c>
      <c r="R71" s="12">
        <v>0</v>
      </c>
      <c r="S71" s="12">
        <v>1</v>
      </c>
      <c r="T71" s="11" t="s">
        <v>3</v>
      </c>
      <c r="U71" s="7"/>
      <c r="V71" s="15">
        <v>12</v>
      </c>
      <c r="W71" s="15">
        <v>18</v>
      </c>
      <c r="X71" s="15">
        <v>1</v>
      </c>
      <c r="Y71" s="15">
        <v>12</v>
      </c>
      <c r="Z71" s="15">
        <v>-2</v>
      </c>
      <c r="AA71" s="15">
        <v>13</v>
      </c>
      <c r="AG71" s="11"/>
      <c r="AH71" s="11"/>
      <c r="AI71" s="11"/>
      <c r="AJ71" s="7"/>
      <c r="AK71" s="11"/>
      <c r="AL71" s="57">
        <f t="shared" si="49"/>
        <v>12</v>
      </c>
      <c r="AM71" s="57">
        <f t="shared" si="44"/>
        <v>18</v>
      </c>
      <c r="AN71" s="57">
        <f t="shared" si="45"/>
        <v>1</v>
      </c>
      <c r="AO71" s="57">
        <f t="shared" si="46"/>
        <v>12</v>
      </c>
      <c r="AP71" s="57">
        <f t="shared" si="47"/>
        <v>-2</v>
      </c>
      <c r="AQ71" s="57">
        <f t="shared" si="48"/>
        <v>13</v>
      </c>
      <c r="AT71" s="7"/>
      <c r="AU71" s="7"/>
      <c r="AV71" s="7"/>
      <c r="AW71" s="7"/>
      <c r="AX71" s="7"/>
      <c r="AY71" s="7"/>
      <c r="AZ71" s="7"/>
      <c r="BA71" s="7"/>
    </row>
    <row r="72" spans="8:66">
      <c r="P72" s="11"/>
      <c r="Q72" s="11"/>
      <c r="R72" s="11"/>
      <c r="S72" s="11" t="s">
        <v>4</v>
      </c>
      <c r="T72" s="11"/>
      <c r="U72" s="7"/>
      <c r="V72" s="7" t="s">
        <v>20</v>
      </c>
      <c r="W72" s="11"/>
      <c r="X72" s="11"/>
      <c r="Y72" s="11"/>
      <c r="Z72" s="11"/>
      <c r="AA72" s="11"/>
      <c r="AG72" s="16"/>
      <c r="AH72" s="11"/>
      <c r="AI72" s="11"/>
      <c r="AJ72" s="7"/>
      <c r="AK72" s="11"/>
      <c r="AL72" s="16" t="s">
        <v>5</v>
      </c>
      <c r="AM72" s="11"/>
      <c r="AN72" s="11"/>
      <c r="AO72" s="11"/>
      <c r="AP72" s="7"/>
      <c r="AQ72" s="7"/>
      <c r="AS72" s="11" t="s">
        <v>6</v>
      </c>
      <c r="AT72" s="7"/>
      <c r="AU72" s="54" t="s">
        <v>68</v>
      </c>
      <c r="AV72" s="7"/>
      <c r="AW72" s="7"/>
      <c r="AX72" s="7"/>
      <c r="AY72" s="7"/>
      <c r="AZ72" s="7"/>
      <c r="BA72" s="7"/>
      <c r="BC72" t="s">
        <v>67</v>
      </c>
    </row>
    <row r="73" spans="8:66">
      <c r="O73" s="33">
        <v>1</v>
      </c>
      <c r="P73" s="33">
        <v>0</v>
      </c>
      <c r="Q73" s="33">
        <v>0</v>
      </c>
      <c r="R73" s="12">
        <v>1</v>
      </c>
      <c r="S73" s="12">
        <v>0</v>
      </c>
      <c r="T73" s="11" t="s">
        <v>3</v>
      </c>
      <c r="U73" s="7"/>
      <c r="V73" s="13" cm="1">
        <f t="array" ref="V73:AA76">MMULT(R73:S76,_xlfn.ANCHORARRAY(V20))</f>
        <v>2</v>
      </c>
      <c r="W73" s="13">
        <v>3</v>
      </c>
      <c r="X73" s="13">
        <v>-2</v>
      </c>
      <c r="Y73" s="13">
        <v>2</v>
      </c>
      <c r="Z73" s="13">
        <v>-2</v>
      </c>
      <c r="AA73" s="13">
        <v>4</v>
      </c>
      <c r="AE73" t="s">
        <v>21</v>
      </c>
      <c r="AG73" s="7" t="s">
        <v>20</v>
      </c>
      <c r="AH73" s="11"/>
      <c r="AI73" s="11"/>
      <c r="AJ73" s="7"/>
      <c r="AK73" s="11"/>
      <c r="AL73" s="11" t="s">
        <v>1</v>
      </c>
      <c r="AM73" s="11" t="s">
        <v>1</v>
      </c>
      <c r="AN73" s="11" t="s">
        <v>1</v>
      </c>
      <c r="AO73" s="11" t="s">
        <v>1</v>
      </c>
      <c r="AP73" s="11" t="s">
        <v>1</v>
      </c>
      <c r="AQ73" s="11" t="s">
        <v>1</v>
      </c>
      <c r="AS73" s="11"/>
      <c r="AT73" s="11">
        <v>1</v>
      </c>
      <c r="AU73" s="11">
        <v>2</v>
      </c>
      <c r="AV73" s="11">
        <v>3</v>
      </c>
      <c r="AW73" s="11">
        <v>4</v>
      </c>
      <c r="AX73" s="11">
        <v>5</v>
      </c>
      <c r="AY73" s="11">
        <v>6</v>
      </c>
      <c r="AZ73" s="7"/>
      <c r="BA73" s="7"/>
      <c r="BD73">
        <v>1</v>
      </c>
      <c r="BF73">
        <v>2</v>
      </c>
      <c r="BH73">
        <v>3</v>
      </c>
      <c r="BJ73">
        <v>4</v>
      </c>
      <c r="BL73">
        <v>5</v>
      </c>
      <c r="BN73">
        <v>6</v>
      </c>
    </row>
    <row r="74" spans="8:66">
      <c r="H74" s="7"/>
      <c r="I74" s="7"/>
      <c r="O74" s="33">
        <v>0</v>
      </c>
      <c r="P74" s="33">
        <v>1</v>
      </c>
      <c r="Q74" s="33">
        <v>0</v>
      </c>
      <c r="R74" s="12">
        <v>1</v>
      </c>
      <c r="S74" s="12">
        <v>0</v>
      </c>
      <c r="T74" s="11" t="s">
        <v>3</v>
      </c>
      <c r="U74" s="7"/>
      <c r="V74" s="14">
        <v>2</v>
      </c>
      <c r="W74" s="14">
        <v>3</v>
      </c>
      <c r="X74" s="14">
        <v>-2</v>
      </c>
      <c r="Y74" s="14">
        <v>2</v>
      </c>
      <c r="Z74" s="14">
        <v>-2</v>
      </c>
      <c r="AA74" s="14">
        <v>4</v>
      </c>
      <c r="AD74" s="11">
        <v>1</v>
      </c>
      <c r="AE74" s="17" cm="1">
        <f t="array" ref="AE74:AF79">TRANSPOSE(V29:AA30)</f>
        <v>3.7199999999999998</v>
      </c>
      <c r="AF74" s="18">
        <v>3.5000000000000004</v>
      </c>
      <c r="AG74" s="17" cm="1">
        <f t="array" ref="AG74:AJ79">TRANSPOSE(V73:AA76)</f>
        <v>2</v>
      </c>
      <c r="AH74" s="18">
        <v>2</v>
      </c>
      <c r="AI74" s="18">
        <v>0</v>
      </c>
      <c r="AJ74" s="19">
        <v>-1</v>
      </c>
      <c r="AK74" s="11" t="s">
        <v>3</v>
      </c>
      <c r="AL74" s="20" cm="1">
        <f t="array" ref="AL74:AQ79">MMULT(AE74:AJ79,AL66:AQ71)/SQRT(6)</f>
        <v>2.4855788916601838</v>
      </c>
      <c r="AM74" s="21">
        <v>-6.7485891903419315</v>
      </c>
      <c r="AN74" s="21">
        <v>-3.6876251581019823</v>
      </c>
      <c r="AO74" s="21">
        <v>-9.1903222156062991</v>
      </c>
      <c r="AP74" s="21">
        <v>0.90957719115348679</v>
      </c>
      <c r="AQ74" s="22">
        <v>-10.198287244761579</v>
      </c>
      <c r="AS74" s="11">
        <v>1</v>
      </c>
      <c r="AT74" s="94" cm="1">
        <f t="array" ref="AT74:AT79">SOFTMAX(AL74:AL79)</f>
        <v>3.6609185741415907E-4</v>
      </c>
      <c r="AU74" s="94" cm="1">
        <f t="array" ref="AU74:AU79">SOFTMAX(AM74:AM79)</f>
        <v>2.9365105810358004E-11</v>
      </c>
      <c r="AV74" s="94" cm="1">
        <f t="array" ref="AV74:AV79">SOFTMAX(AN74:AN79)</f>
        <v>1.0381986392345055E-2</v>
      </c>
      <c r="AW74" s="94" cm="1">
        <f t="array" ref="AW74:AW79">SOFTMAX(AO74:AO79)</f>
        <v>2.3078419415361386E-10</v>
      </c>
      <c r="AX74" s="94" cm="1">
        <f t="array" ref="AX74:AX79">SOFTMAX(AP74:AP79)</f>
        <v>4.1436725224579071E-2</v>
      </c>
      <c r="AY74" s="94" cm="1">
        <f t="array" ref="AY74:AY79">SOFTMAX(AQ74:AQ79)</f>
        <v>8.7361968548020327E-12</v>
      </c>
      <c r="AZ74" s="7"/>
      <c r="BA74" s="7"/>
      <c r="BC74">
        <f>EXP(AL74)</f>
        <v>12.008069614528695</v>
      </c>
      <c r="BD74" s="53">
        <f>BC74/$BC$80</f>
        <v>3.6609185741415907E-4</v>
      </c>
      <c r="BE74">
        <f>EXP(AM74)</f>
        <v>1.1725326748667653E-3</v>
      </c>
      <c r="BF74" s="53">
        <f>BE74/$BE$80</f>
        <v>2.9365105810358004E-11</v>
      </c>
      <c r="BG74">
        <f>EXP(AN74)</f>
        <v>2.5031377074254714E-2</v>
      </c>
      <c r="BH74" s="53">
        <f>BG74/$BG$80</f>
        <v>1.0381986392345055E-2</v>
      </c>
      <c r="BI74">
        <f>EXP(AO74)</f>
        <v>1.0202198633477987E-4</v>
      </c>
      <c r="BJ74" s="53">
        <f>BI74/$BI$80</f>
        <v>2.3078419415361386E-10</v>
      </c>
      <c r="BK74">
        <f>EXP(AP74)</f>
        <v>2.4832723618666583</v>
      </c>
      <c r="BL74" s="53">
        <f>BK74/$BK$80</f>
        <v>4.1436725224579071E-2</v>
      </c>
      <c r="BM74">
        <f>EXP(AQ74)</f>
        <v>3.7234036893438516E-5</v>
      </c>
      <c r="BN74" s="53">
        <f>BM74/$BM$80</f>
        <v>8.7361968548020327E-12</v>
      </c>
    </row>
    <row r="75" spans="8:66">
      <c r="H75" s="7"/>
      <c r="I75" s="7"/>
      <c r="N75" s="7"/>
      <c r="O75" s="33">
        <v>0</v>
      </c>
      <c r="P75" s="33">
        <v>1</v>
      </c>
      <c r="Q75" s="33">
        <v>0</v>
      </c>
      <c r="R75" s="12">
        <v>1</v>
      </c>
      <c r="S75" s="12">
        <v>2</v>
      </c>
      <c r="T75" s="11" t="s">
        <v>3</v>
      </c>
      <c r="U75" s="7"/>
      <c r="V75" s="14">
        <v>0</v>
      </c>
      <c r="W75" s="14">
        <v>3</v>
      </c>
      <c r="X75" s="14">
        <v>-4</v>
      </c>
      <c r="Y75" s="14">
        <v>0</v>
      </c>
      <c r="Z75" s="14">
        <v>-4</v>
      </c>
      <c r="AA75" s="14">
        <v>-2</v>
      </c>
      <c r="AD75" s="11">
        <v>2</v>
      </c>
      <c r="AE75" s="17">
        <v>-0.9800000000000002</v>
      </c>
      <c r="AF75" s="18">
        <v>4.8900000000000006</v>
      </c>
      <c r="AG75" s="17">
        <v>3</v>
      </c>
      <c r="AH75" s="18">
        <v>3</v>
      </c>
      <c r="AI75" s="18">
        <v>3</v>
      </c>
      <c r="AJ75" s="19">
        <v>0</v>
      </c>
      <c r="AK75" s="11" t="s">
        <v>3</v>
      </c>
      <c r="AL75" s="23">
        <v>10.397839009140316</v>
      </c>
      <c r="AM75" s="14">
        <v>17.50262483291197</v>
      </c>
      <c r="AN75" s="14">
        <v>-1.0282957940203781</v>
      </c>
      <c r="AO75" s="14">
        <v>12.999197115976051</v>
      </c>
      <c r="AP75" s="14">
        <v>-3.4483916598901585</v>
      </c>
      <c r="AQ75" s="24">
        <v>15.26517925219572</v>
      </c>
      <c r="AS75" s="11">
        <v>2</v>
      </c>
      <c r="AT75" s="94">
        <v>0.99963390499843441</v>
      </c>
      <c r="AU75" s="94">
        <v>0.9999999995747334</v>
      </c>
      <c r="AV75" s="94">
        <v>0.1483243738687228</v>
      </c>
      <c r="AW75" s="94">
        <v>0.99998126524822761</v>
      </c>
      <c r="AX75" s="94">
        <v>5.3057111309713601E-4</v>
      </c>
      <c r="AY75" s="94">
        <v>0.99992033669636204</v>
      </c>
      <c r="AZ75" s="7"/>
      <c r="BA75" s="7"/>
      <c r="BC75">
        <f t="shared" ref="BC75:BC79" si="50">EXP(AL75)</f>
        <v>32788.692993749464</v>
      </c>
      <c r="BD75" s="53">
        <f t="shared" ref="BD75:BD79" si="51">BC75/$BC$80</f>
        <v>0.99963390499843441</v>
      </c>
      <c r="BE75">
        <f t="shared" ref="BE75:BE79" si="52">EXP(AM75)</f>
        <v>39929455.113849342</v>
      </c>
      <c r="BF75" s="53">
        <f t="shared" ref="BF75:BF79" si="53">BE75/$BE$80</f>
        <v>0.9999999995747334</v>
      </c>
      <c r="BG75">
        <f t="shared" ref="BG75:BG79" si="54">EXP(AN75)</f>
        <v>0.35761589269162042</v>
      </c>
      <c r="BH75" s="53">
        <f t="shared" ref="BH75:BH79" si="55">BG75/$BG$80</f>
        <v>0.1483243738687228</v>
      </c>
      <c r="BI75">
        <f t="shared" ref="BI75:BI79" si="56">EXP(AO75)</f>
        <v>442058.32792121056</v>
      </c>
      <c r="BJ75" s="53">
        <f t="shared" ref="BJ75:BJ79" si="57">BI75/$BI$80</f>
        <v>0.99998126524822761</v>
      </c>
      <c r="BK75">
        <f t="shared" ref="BK75:BK79" si="58">EXP(AP75)</f>
        <v>3.1796735239526426E-2</v>
      </c>
      <c r="BL75" s="53">
        <f t="shared" ref="BL75:BL79" si="59">BK75/$BK$80</f>
        <v>5.3057111309713601E-4</v>
      </c>
      <c r="BM75">
        <f t="shared" ref="BM75:BM79" si="60">EXP(AQ75)</f>
        <v>4261702.3546793107</v>
      </c>
      <c r="BN75" s="53">
        <f t="shared" ref="BN75:BN79" si="61">BM75/$BM$80</f>
        <v>0.99992033669636204</v>
      </c>
    </row>
    <row r="76" spans="8:66">
      <c r="H76" s="7"/>
      <c r="I76" s="7"/>
      <c r="N76" s="7"/>
      <c r="O76" s="33">
        <v>0</v>
      </c>
      <c r="P76" s="33">
        <v>0</v>
      </c>
      <c r="Q76" s="33">
        <v>0</v>
      </c>
      <c r="R76" s="12">
        <v>0</v>
      </c>
      <c r="S76" s="12">
        <v>1</v>
      </c>
      <c r="T76" s="11" t="s">
        <v>3</v>
      </c>
      <c r="V76" s="15">
        <v>-1</v>
      </c>
      <c r="W76" s="15">
        <v>0</v>
      </c>
      <c r="X76" s="15">
        <v>-1</v>
      </c>
      <c r="Y76" s="15">
        <v>-1</v>
      </c>
      <c r="Z76" s="15">
        <v>-1</v>
      </c>
      <c r="AA76" s="15">
        <v>-3</v>
      </c>
      <c r="AD76" s="11">
        <v>3</v>
      </c>
      <c r="AE76" s="17">
        <v>-0.99</v>
      </c>
      <c r="AF76" s="18">
        <v>-0.1</v>
      </c>
      <c r="AG76" s="17">
        <v>-2</v>
      </c>
      <c r="AH76" s="18">
        <v>-2</v>
      </c>
      <c r="AI76" s="18">
        <v>-4</v>
      </c>
      <c r="AJ76" s="19">
        <v>-1</v>
      </c>
      <c r="AK76" s="11" t="s">
        <v>3</v>
      </c>
      <c r="AL76" s="23">
        <v>-16.343322162481737</v>
      </c>
      <c r="AM76" s="14">
        <v>-21.848958607677393</v>
      </c>
      <c r="AN76" s="14">
        <v>-4.0416580755922521E-3</v>
      </c>
      <c r="AO76" s="14">
        <v>-13.303913639978276</v>
      </c>
      <c r="AP76" s="14">
        <v>2.9153010422024459</v>
      </c>
      <c r="AQ76" s="24">
        <v>-17.884255334837587</v>
      </c>
      <c r="AS76" s="11">
        <v>3</v>
      </c>
      <c r="AT76" s="94">
        <v>2.433897257455771E-12</v>
      </c>
      <c r="AU76" s="94">
        <v>8.1250203504074248E-18</v>
      </c>
      <c r="AV76" s="94">
        <v>0.41308596819424126</v>
      </c>
      <c r="AW76" s="94">
        <v>3.7730799283230077E-12</v>
      </c>
      <c r="AX76" s="94">
        <v>0.30793583131276542</v>
      </c>
      <c r="AY76" s="94">
        <v>4.0118887540010181E-15</v>
      </c>
      <c r="AZ76" s="7"/>
      <c r="BA76" s="7"/>
      <c r="BC76">
        <f t="shared" si="50"/>
        <v>7.9833536611756943E-8</v>
      </c>
      <c r="BD76" s="53">
        <f t="shared" si="51"/>
        <v>2.433897257455771E-12</v>
      </c>
      <c r="BE76">
        <f t="shared" si="52"/>
        <v>3.2442763551867393E-10</v>
      </c>
      <c r="BF76" s="53">
        <f t="shared" si="53"/>
        <v>8.1250203504074248E-18</v>
      </c>
      <c r="BG76">
        <f t="shared" si="54"/>
        <v>0.99596649843210272</v>
      </c>
      <c r="BH76" s="53">
        <f t="shared" si="55"/>
        <v>0.41308596819424126</v>
      </c>
      <c r="BI76">
        <f t="shared" si="56"/>
        <v>1.66795265290647E-6</v>
      </c>
      <c r="BJ76" s="53">
        <f t="shared" si="57"/>
        <v>3.7730799283230077E-12</v>
      </c>
      <c r="BK76">
        <f t="shared" si="58"/>
        <v>18.454367109923847</v>
      </c>
      <c r="BL76" s="53">
        <f t="shared" si="59"/>
        <v>0.30793583131276542</v>
      </c>
      <c r="BM76">
        <f t="shared" si="60"/>
        <v>1.7098837899553031E-8</v>
      </c>
      <c r="BN76" s="53">
        <f t="shared" si="61"/>
        <v>4.0118887540010181E-15</v>
      </c>
    </row>
    <row r="77" spans="8:66">
      <c r="H77" s="7"/>
      <c r="I77" s="7"/>
      <c r="N77" s="7"/>
      <c r="P77" s="11"/>
      <c r="Q77" s="11"/>
      <c r="R77" s="11"/>
      <c r="S77" s="16" t="s">
        <v>7</v>
      </c>
      <c r="T77" s="11"/>
      <c r="U77" s="7"/>
      <c r="V77" s="11" t="s">
        <v>37</v>
      </c>
      <c r="W77" s="11"/>
      <c r="X77" s="11"/>
      <c r="Y77" s="11"/>
      <c r="Z77" s="11"/>
      <c r="AA77" s="11"/>
      <c r="AD77" s="11">
        <v>4</v>
      </c>
      <c r="AE77" s="17">
        <v>-3.7800000000000002</v>
      </c>
      <c r="AF77" s="18">
        <v>3.3000000000000003</v>
      </c>
      <c r="AG77" s="17">
        <v>2</v>
      </c>
      <c r="AH77" s="18">
        <v>2</v>
      </c>
      <c r="AI77" s="18">
        <v>0</v>
      </c>
      <c r="AJ77" s="19">
        <v>-1</v>
      </c>
      <c r="AK77" s="11" t="s">
        <v>3</v>
      </c>
      <c r="AL77" s="23">
        <v>-9.1903222156062991</v>
      </c>
      <c r="AM77" s="14">
        <v>-4.1472310835061981</v>
      </c>
      <c r="AN77" s="14">
        <v>-0.64821663559852161</v>
      </c>
      <c r="AO77" s="14">
        <v>2.1140729473380699</v>
      </c>
      <c r="AP77" s="14">
        <v>-1.8199708788879017</v>
      </c>
      <c r="AQ77" s="24">
        <v>5.8274993973973679</v>
      </c>
      <c r="AS77" s="11">
        <v>4</v>
      </c>
      <c r="AT77" s="94">
        <v>3.110359922396856E-9</v>
      </c>
      <c r="AU77" s="94">
        <v>3.9590140345730981E-10</v>
      </c>
      <c r="AV77" s="94">
        <v>0.21690961568901124</v>
      </c>
      <c r="AW77" s="94">
        <v>1.8734517058268065E-5</v>
      </c>
      <c r="AX77" s="94">
        <v>2.7036953902055084E-3</v>
      </c>
      <c r="AY77" s="94">
        <v>7.9658682349699342E-5</v>
      </c>
      <c r="AZ77" s="7"/>
      <c r="BA77" s="7"/>
      <c r="BC77">
        <f t="shared" si="50"/>
        <v>1.0202198633477987E-4</v>
      </c>
      <c r="BD77" s="53">
        <f t="shared" si="51"/>
        <v>3.110359922396856E-9</v>
      </c>
      <c r="BE77">
        <f t="shared" si="52"/>
        <v>1.5808127325581279E-2</v>
      </c>
      <c r="BF77" s="53">
        <f t="shared" si="53"/>
        <v>3.9590140345730981E-10</v>
      </c>
      <c r="BG77">
        <f t="shared" si="54"/>
        <v>0.52297760526315862</v>
      </c>
      <c r="BH77" s="53">
        <f t="shared" si="55"/>
        <v>0.21690961568901124</v>
      </c>
      <c r="BI77">
        <f t="shared" si="56"/>
        <v>8.2819044446133496</v>
      </c>
      <c r="BJ77" s="53">
        <f t="shared" si="57"/>
        <v>1.8734517058268065E-5</v>
      </c>
      <c r="BK77">
        <f t="shared" si="58"/>
        <v>0.16203046937263929</v>
      </c>
      <c r="BL77" s="53">
        <f t="shared" si="59"/>
        <v>2.7036953902055084E-3</v>
      </c>
      <c r="BM77">
        <f t="shared" si="60"/>
        <v>339.50864052028237</v>
      </c>
      <c r="BN77" s="53">
        <f t="shared" si="61"/>
        <v>7.9658682349699342E-5</v>
      </c>
    </row>
    <row r="78" spans="8:66">
      <c r="H78" s="7"/>
      <c r="I78" s="7"/>
      <c r="N78" s="7"/>
      <c r="O78" s="33">
        <v>0</v>
      </c>
      <c r="P78" s="33">
        <v>1</v>
      </c>
      <c r="Q78" s="33">
        <v>0</v>
      </c>
      <c r="R78" s="12">
        <v>1</v>
      </c>
      <c r="S78" s="12">
        <v>2</v>
      </c>
      <c r="T78" s="11" t="s">
        <v>3</v>
      </c>
      <c r="U78" s="7"/>
      <c r="V78" s="13" cm="1">
        <f t="array" ref="V78:AA81">MMULT(R78:S81,_xlfn.ANCHORARRAY(V20))</f>
        <v>0</v>
      </c>
      <c r="W78" s="13">
        <v>3</v>
      </c>
      <c r="X78" s="13">
        <v>-4</v>
      </c>
      <c r="Y78" s="13">
        <v>0</v>
      </c>
      <c r="Z78" s="13">
        <v>-4</v>
      </c>
      <c r="AA78" s="13">
        <v>-2</v>
      </c>
      <c r="AD78" s="11">
        <v>5</v>
      </c>
      <c r="AE78" s="17">
        <v>0.9</v>
      </c>
      <c r="AF78" s="18">
        <v>-0.32</v>
      </c>
      <c r="AG78" s="17">
        <v>-2</v>
      </c>
      <c r="AH78" s="18">
        <v>-2</v>
      </c>
      <c r="AI78" s="18">
        <v>-4</v>
      </c>
      <c r="AJ78" s="19">
        <v>-1</v>
      </c>
      <c r="AK78" s="11" t="s">
        <v>3</v>
      </c>
      <c r="AL78" s="23">
        <v>-13.787361265545583</v>
      </c>
      <c r="AM78" s="14">
        <v>-23.044309602155582</v>
      </c>
      <c r="AN78" s="14">
        <v>-0.75893357197232136</v>
      </c>
      <c r="AO78" s="14">
        <v>-16.51690933558697</v>
      </c>
      <c r="AP78" s="14">
        <v>3.6384720639301329</v>
      </c>
      <c r="AQ78" s="24">
        <v>-21.906195018000428</v>
      </c>
      <c r="AS78" s="11">
        <v>5</v>
      </c>
      <c r="AT78" s="94">
        <v>3.1357537826426303E-11</v>
      </c>
      <c r="AU78" s="94">
        <v>2.4586126769403677E-18</v>
      </c>
      <c r="AV78" s="94">
        <v>0.19417577641635858</v>
      </c>
      <c r="AW78" s="94">
        <v>1.5181325931610458E-13</v>
      </c>
      <c r="AX78" s="94">
        <v>0.63464287753290383</v>
      </c>
      <c r="AY78" s="94">
        <v>7.1885727289038158E-17</v>
      </c>
      <c r="AZ78" s="7"/>
      <c r="BA78" s="7"/>
      <c r="BC78">
        <f t="shared" si="50"/>
        <v>1.0285492275616524E-6</v>
      </c>
      <c r="BD78" s="53">
        <f t="shared" si="51"/>
        <v>3.1357537826426303E-11</v>
      </c>
      <c r="BE78">
        <f t="shared" si="52"/>
        <v>9.8171064567980261E-11</v>
      </c>
      <c r="BF78" s="53">
        <f t="shared" si="53"/>
        <v>2.4586126769403677E-18</v>
      </c>
      <c r="BG78">
        <f t="shared" si="54"/>
        <v>0.46816542562103797</v>
      </c>
      <c r="BH78" s="53">
        <f t="shared" si="55"/>
        <v>0.19417577641635858</v>
      </c>
      <c r="BI78">
        <f t="shared" si="56"/>
        <v>6.7111572888205454E-8</v>
      </c>
      <c r="BJ78" s="53">
        <f t="shared" si="57"/>
        <v>1.5181325931610458E-13</v>
      </c>
      <c r="BK78">
        <f t="shared" si="58"/>
        <v>38.033679275845721</v>
      </c>
      <c r="BL78" s="53">
        <f t="shared" si="59"/>
        <v>0.63464287753290383</v>
      </c>
      <c r="BM78">
        <f t="shared" si="60"/>
        <v>3.0637998049694358E-10</v>
      </c>
      <c r="BN78" s="53">
        <f t="shared" si="61"/>
        <v>7.1885727289038158E-17</v>
      </c>
    </row>
    <row r="79" spans="8:66">
      <c r="H79" s="7"/>
      <c r="I79" s="7"/>
      <c r="K79" s="7"/>
      <c r="O79" s="33">
        <v>1</v>
      </c>
      <c r="P79" s="33">
        <v>0</v>
      </c>
      <c r="Q79" s="33">
        <v>0</v>
      </c>
      <c r="R79" s="12">
        <v>1</v>
      </c>
      <c r="S79" s="12">
        <v>1</v>
      </c>
      <c r="T79" s="11" t="s">
        <v>3</v>
      </c>
      <c r="U79" s="7"/>
      <c r="V79" s="14">
        <v>1</v>
      </c>
      <c r="W79" s="14">
        <v>3</v>
      </c>
      <c r="X79" s="14">
        <v>-3</v>
      </c>
      <c r="Y79" s="14">
        <v>1</v>
      </c>
      <c r="Z79" s="14">
        <v>-3</v>
      </c>
      <c r="AA79" s="14">
        <v>1</v>
      </c>
      <c r="AD79" s="11">
        <v>6</v>
      </c>
      <c r="AE79" s="17">
        <v>-5.23</v>
      </c>
      <c r="AF79" s="18">
        <v>-0.15000000000000013</v>
      </c>
      <c r="AG79" s="17">
        <v>4</v>
      </c>
      <c r="AH79" s="18">
        <v>4</v>
      </c>
      <c r="AI79" s="18">
        <v>-2</v>
      </c>
      <c r="AJ79" s="19">
        <v>-3</v>
      </c>
      <c r="AK79" s="11" t="s">
        <v>3</v>
      </c>
      <c r="AL79" s="25">
        <v>-35.917929543984954</v>
      </c>
      <c r="AM79" s="26">
        <v>-39.848339960425797</v>
      </c>
      <c r="AN79" s="26">
        <v>-3.1873168781385179</v>
      </c>
      <c r="AO79" s="26">
        <v>-19.892142901826006</v>
      </c>
      <c r="AP79" s="26">
        <v>-0.26903562341568604</v>
      </c>
      <c r="AQ79" s="27">
        <v>-3.9292264963984938</v>
      </c>
      <c r="AS79" s="11">
        <v>6</v>
      </c>
      <c r="AT79" s="103">
        <v>7.6764119019375968E-21</v>
      </c>
      <c r="AU79" s="103">
        <v>1.238204728676398E-25</v>
      </c>
      <c r="AV79" s="103">
        <v>1.7122279439321098E-2</v>
      </c>
      <c r="AW79" s="103">
        <v>5.1935508887363702E-15</v>
      </c>
      <c r="AX79" s="103">
        <v>1.2750299426449006E-2</v>
      </c>
      <c r="AY79" s="103">
        <v>4.6125480279460748E-9</v>
      </c>
      <c r="AZ79" s="7"/>
      <c r="BA79" s="7"/>
      <c r="BC79">
        <f t="shared" si="50"/>
        <v>2.5179169282637575E-16</v>
      </c>
      <c r="BD79" s="53">
        <f t="shared" si="51"/>
        <v>7.6764119019375968E-21</v>
      </c>
      <c r="BE79">
        <f t="shared" si="52"/>
        <v>4.9440840156465775E-18</v>
      </c>
      <c r="BF79" s="53">
        <f t="shared" si="53"/>
        <v>1.238204728676398E-25</v>
      </c>
      <c r="BG79">
        <f t="shared" si="54"/>
        <v>4.1282488419790278E-2</v>
      </c>
      <c r="BH79" s="53">
        <f t="shared" si="55"/>
        <v>1.7122279439321098E-2</v>
      </c>
      <c r="BI79">
        <f t="shared" si="56"/>
        <v>2.2958954348795848E-9</v>
      </c>
      <c r="BJ79" s="53">
        <f t="shared" si="57"/>
        <v>5.1935508887363702E-15</v>
      </c>
      <c r="BK79">
        <f t="shared" si="58"/>
        <v>0.76411603474021306</v>
      </c>
      <c r="BL79" s="53">
        <f t="shared" si="59"/>
        <v>1.2750299426449006E-2</v>
      </c>
      <c r="BM79">
        <f t="shared" si="60"/>
        <v>1.9658872882528818E-2</v>
      </c>
      <c r="BN79" s="53">
        <f t="shared" si="61"/>
        <v>4.6125480279460748E-9</v>
      </c>
    </row>
    <row r="80" spans="8:66">
      <c r="O80" s="33">
        <v>1</v>
      </c>
      <c r="P80" s="33">
        <v>0</v>
      </c>
      <c r="Q80" s="33">
        <v>0</v>
      </c>
      <c r="R80" s="12">
        <v>0</v>
      </c>
      <c r="S80" s="12">
        <v>1</v>
      </c>
      <c r="T80" s="11" t="s">
        <v>3</v>
      </c>
      <c r="U80" s="7"/>
      <c r="V80" s="14">
        <v>-1</v>
      </c>
      <c r="W80" s="14">
        <v>0</v>
      </c>
      <c r="X80" s="14">
        <v>-1</v>
      </c>
      <c r="Y80" s="14">
        <v>-1</v>
      </c>
      <c r="Z80" s="14">
        <v>-1</v>
      </c>
      <c r="AA80" s="14">
        <v>-3</v>
      </c>
      <c r="AZ80" s="7"/>
      <c r="BA80" s="7"/>
      <c r="BC80">
        <f>SUM(BC74:BC79)</f>
        <v>32800.701166494364</v>
      </c>
      <c r="BE80">
        <f>SUM(BE74:BE79)</f>
        <v>39929455.130830005</v>
      </c>
      <c r="BG80">
        <f t="shared" ref="BG80" si="62">SUM(BG74:BG79)</f>
        <v>2.4110392875019646</v>
      </c>
      <c r="BI80">
        <f t="shared" ref="BI80" si="63">SUM(BI74:BI79)</f>
        <v>442066.60992941447</v>
      </c>
      <c r="BK80">
        <f t="shared" ref="BK80" si="64">SUM(BK74:BK79)</f>
        <v>59.929261986988607</v>
      </c>
      <c r="BM80">
        <f t="shared" ref="BM80" si="65">SUM(BM74:BM79)</f>
        <v>4262041.8830159549</v>
      </c>
    </row>
    <row r="81" spans="8:55">
      <c r="O81" s="33">
        <v>0</v>
      </c>
      <c r="P81" s="33">
        <v>0</v>
      </c>
      <c r="Q81" s="33">
        <v>0</v>
      </c>
      <c r="R81" s="12">
        <v>0</v>
      </c>
      <c r="S81" s="12">
        <v>1</v>
      </c>
      <c r="T81" s="11" t="s">
        <v>3</v>
      </c>
      <c r="U81" s="7"/>
      <c r="V81" s="15">
        <v>-1</v>
      </c>
      <c r="W81" s="15">
        <v>0</v>
      </c>
      <c r="X81" s="15">
        <v>-1</v>
      </c>
      <c r="Y81" s="15">
        <v>-1</v>
      </c>
      <c r="Z81" s="15">
        <v>-1</v>
      </c>
      <c r="AA81" s="15">
        <v>-3</v>
      </c>
      <c r="AL81" s="11" t="s">
        <v>37</v>
      </c>
      <c r="AM81" s="11"/>
      <c r="AN81" s="11"/>
      <c r="AO81" s="7"/>
      <c r="AP81" s="11"/>
      <c r="AQ81" s="11"/>
      <c r="AS81" s="11" t="s">
        <v>8</v>
      </c>
      <c r="AT81" s="11" t="s">
        <v>1</v>
      </c>
      <c r="AU81" s="11" t="s">
        <v>1</v>
      </c>
      <c r="AV81" s="11" t="s">
        <v>1</v>
      </c>
      <c r="AW81" s="11" t="s">
        <v>1</v>
      </c>
      <c r="AX81" s="11" t="s">
        <v>1</v>
      </c>
      <c r="AY81" s="11" t="s">
        <v>1</v>
      </c>
      <c r="AZ81" s="7"/>
      <c r="BA81" s="7"/>
    </row>
    <row r="82" spans="8:55">
      <c r="R82" s="7"/>
      <c r="S82" s="7"/>
      <c r="T82" s="7"/>
      <c r="U82" s="7"/>
      <c r="AG82" s="11"/>
      <c r="AH82" s="11"/>
      <c r="AI82" s="11"/>
      <c r="AJ82" s="11"/>
      <c r="AK82" s="11"/>
      <c r="AL82" s="13">
        <f>V78</f>
        <v>0</v>
      </c>
      <c r="AM82" s="13">
        <f t="shared" ref="AM82:AM85" si="66">W78</f>
        <v>3</v>
      </c>
      <c r="AN82" s="13">
        <f t="shared" ref="AN82:AN85" si="67">X78</f>
        <v>-4</v>
      </c>
      <c r="AO82" s="13">
        <f t="shared" ref="AO82:AO85" si="68">Y78</f>
        <v>0</v>
      </c>
      <c r="AP82" s="13">
        <f t="shared" ref="AP82:AP85" si="69">Z78</f>
        <v>-4</v>
      </c>
      <c r="AQ82" s="13">
        <f t="shared" ref="AQ82:AQ85" si="70">AA78</f>
        <v>-2</v>
      </c>
      <c r="AS82" s="11" t="s">
        <v>3</v>
      </c>
      <c r="AT82" s="56" cm="1">
        <f t="array" ref="AT82:AY85">MMULT(AL82:AQ85,AT74:AY79)</f>
        <v>2.9989017148601369</v>
      </c>
      <c r="AU82" s="56">
        <v>2.9999999987242001</v>
      </c>
      <c r="AV82" s="56">
        <v>-2.018318415714873</v>
      </c>
      <c r="AW82" s="56">
        <v>2.999943795728973</v>
      </c>
      <c r="AX82" s="56">
        <v>-3.7942237208962837</v>
      </c>
      <c r="AY82" s="56">
        <v>2.9997610008639737</v>
      </c>
      <c r="AZ82" s="7"/>
      <c r="BA82" s="7"/>
    </row>
    <row r="83" spans="8:55">
      <c r="H83" s="7"/>
      <c r="I83" s="7"/>
      <c r="R83" s="7"/>
      <c r="AG83" s="11"/>
      <c r="AH83" s="11"/>
      <c r="AI83" s="11"/>
      <c r="AJ83" s="7"/>
      <c r="AK83" s="7"/>
      <c r="AL83" s="13">
        <f t="shared" ref="AL83:AL85" si="71">V79</f>
        <v>1</v>
      </c>
      <c r="AM83" s="13">
        <f t="shared" si="66"/>
        <v>3</v>
      </c>
      <c r="AN83" s="13">
        <f t="shared" si="67"/>
        <v>-3</v>
      </c>
      <c r="AO83" s="13">
        <f t="shared" si="68"/>
        <v>1</v>
      </c>
      <c r="AP83" s="13">
        <f t="shared" si="69"/>
        <v>-3</v>
      </c>
      <c r="AQ83" s="13">
        <f t="shared" si="70"/>
        <v>1</v>
      </c>
      <c r="AS83" s="11" t="s">
        <v>3</v>
      </c>
      <c r="AT83" s="56">
        <v>2.9992678098617027</v>
      </c>
      <c r="AU83" s="56">
        <v>2.9999999991494666</v>
      </c>
      <c r="AV83" s="56">
        <v>-1.1323982307049536</v>
      </c>
      <c r="AW83" s="56">
        <v>2.9999625304807553</v>
      </c>
      <c r="AX83" s="56">
        <v>-2.7692536931564828</v>
      </c>
      <c r="AY83" s="56">
        <v>2.9998406733927081</v>
      </c>
      <c r="AZ83" s="7"/>
      <c r="BA83" s="7"/>
    </row>
    <row r="84" spans="8:55">
      <c r="H84" s="7"/>
      <c r="I84" s="7"/>
      <c r="R84" s="7"/>
      <c r="AG84" s="11"/>
      <c r="AH84" s="7"/>
      <c r="AI84" s="7"/>
      <c r="AJ84" s="7"/>
      <c r="AK84" s="7"/>
      <c r="AL84" s="13">
        <f t="shared" si="71"/>
        <v>-1</v>
      </c>
      <c r="AM84" s="13">
        <f t="shared" si="66"/>
        <v>0</v>
      </c>
      <c r="AN84" s="13">
        <f t="shared" si="67"/>
        <v>-1</v>
      </c>
      <c r="AO84" s="13">
        <f t="shared" si="68"/>
        <v>-1</v>
      </c>
      <c r="AP84" s="13">
        <f t="shared" si="69"/>
        <v>-1</v>
      </c>
      <c r="AQ84" s="13">
        <f t="shared" si="70"/>
        <v>-3</v>
      </c>
      <c r="AS84" s="11" t="s">
        <v>3</v>
      </c>
      <c r="AT84" s="56">
        <v>-3.6609500156551658E-4</v>
      </c>
      <c r="AU84" s="56">
        <v>-4.2526651985130123E-10</v>
      </c>
      <c r="AV84" s="56">
        <v>-0.88592018500991943</v>
      </c>
      <c r="AW84" s="56">
        <v>-1.8734751782936058E-5</v>
      </c>
      <c r="AX84" s="56">
        <v>-1.0249700277398008</v>
      </c>
      <c r="AY84" s="56">
        <v>-7.9672528734063807E-5</v>
      </c>
      <c r="AZ84" s="7"/>
      <c r="BA84" s="7"/>
    </row>
    <row r="85" spans="8:55">
      <c r="H85" s="7"/>
      <c r="I85" s="7"/>
      <c r="K85" s="7"/>
      <c r="R85" s="7"/>
      <c r="S85" s="7"/>
      <c r="T85" s="7"/>
      <c r="U85" s="7"/>
      <c r="AG85" s="11"/>
      <c r="AH85" s="7"/>
      <c r="AI85" s="7"/>
      <c r="AJ85" s="7"/>
      <c r="AK85" s="7"/>
      <c r="AL85" s="55">
        <f t="shared" si="71"/>
        <v>-1</v>
      </c>
      <c r="AM85" s="55">
        <f t="shared" si="66"/>
        <v>0</v>
      </c>
      <c r="AN85" s="55">
        <f t="shared" si="67"/>
        <v>-1</v>
      </c>
      <c r="AO85" s="55">
        <f t="shared" si="68"/>
        <v>-1</v>
      </c>
      <c r="AP85" s="55">
        <f t="shared" si="69"/>
        <v>-1</v>
      </c>
      <c r="AQ85" s="55">
        <f t="shared" si="70"/>
        <v>-3</v>
      </c>
      <c r="AR85" s="7"/>
      <c r="AS85" s="11" t="s">
        <v>3</v>
      </c>
      <c r="AT85" s="56">
        <v>-3.6609500156551658E-4</v>
      </c>
      <c r="AU85" s="56">
        <v>-4.2526651985130123E-10</v>
      </c>
      <c r="AV85" s="56">
        <v>-0.88592018500991943</v>
      </c>
      <c r="AW85" s="56">
        <v>-1.8734751782936058E-5</v>
      </c>
      <c r="AX85" s="56">
        <v>-1.0249700277398008</v>
      </c>
      <c r="AY85" s="56">
        <v>-7.9672528734063807E-5</v>
      </c>
      <c r="AZ85" s="7"/>
      <c r="BA85" s="7"/>
    </row>
    <row r="86" spans="8:55">
      <c r="H86" s="7"/>
      <c r="I86" s="7"/>
      <c r="K86" s="7"/>
      <c r="R86" s="7"/>
      <c r="S86" s="7"/>
      <c r="T86" s="7"/>
      <c r="U86" s="7"/>
    </row>
    <row r="87" spans="8:55">
      <c r="H87" s="7"/>
      <c r="I87" s="7"/>
      <c r="K87" s="7"/>
      <c r="R87" s="7"/>
      <c r="S87" s="7"/>
      <c r="T87" s="7"/>
      <c r="U87" s="7"/>
      <c r="AD87" s="11"/>
      <c r="AE87" s="7"/>
      <c r="AF87" s="7"/>
      <c r="AG87" s="7"/>
      <c r="AH87" s="7"/>
      <c r="AI87" s="11"/>
      <c r="AJ87" s="11"/>
      <c r="AK87" s="11"/>
      <c r="AL87" s="11"/>
      <c r="AM87" s="11"/>
      <c r="AN87" s="11"/>
    </row>
    <row r="88" spans="8:55">
      <c r="H88" s="7"/>
      <c r="I88" s="7"/>
      <c r="J88" s="7"/>
      <c r="K88" s="7"/>
      <c r="L88" s="7"/>
      <c r="M88" s="7"/>
      <c r="N88" s="7"/>
      <c r="O88" s="11"/>
      <c r="P88" s="11"/>
      <c r="Q88" s="11"/>
      <c r="R88" s="11"/>
      <c r="S88" s="11"/>
      <c r="T88" s="11"/>
      <c r="U88" s="11"/>
      <c r="V88" s="7"/>
      <c r="W88" s="11"/>
      <c r="X88" s="11"/>
      <c r="Y88" s="11"/>
      <c r="Z88" s="11"/>
      <c r="AA88" s="11"/>
      <c r="AD88" s="7"/>
      <c r="AE88" s="11"/>
      <c r="AF88" s="11"/>
      <c r="AG88" s="7"/>
      <c r="AH88" s="11"/>
      <c r="AI88" s="11"/>
      <c r="AJ88" s="11"/>
      <c r="AK88" s="11"/>
      <c r="AM88" s="11"/>
      <c r="AN88" s="11"/>
      <c r="AQ88" s="7"/>
      <c r="AR88" s="7"/>
      <c r="AS88" s="7"/>
      <c r="AT88" s="7"/>
      <c r="AU88" s="7"/>
      <c r="AV88" s="7"/>
      <c r="AW88" s="7"/>
      <c r="AX88" s="7"/>
    </row>
    <row r="89" spans="8:55">
      <c r="H89" s="7"/>
      <c r="I89" s="7"/>
      <c r="J89" s="7"/>
      <c r="K89" s="7"/>
      <c r="L89" s="7"/>
      <c r="M89" s="7"/>
      <c r="N89" s="7"/>
      <c r="O89" s="11"/>
      <c r="P89" s="11"/>
      <c r="Q89" s="11"/>
      <c r="R89" s="11"/>
      <c r="S89" s="11"/>
      <c r="T89" s="11"/>
      <c r="U89" s="11"/>
      <c r="V89" s="7"/>
      <c r="W89" s="11"/>
      <c r="X89" s="11"/>
      <c r="Y89" s="11"/>
      <c r="Z89" s="11"/>
      <c r="AA89" s="11"/>
      <c r="AD89" s="7"/>
      <c r="AE89" s="11"/>
      <c r="AF89" s="11"/>
      <c r="AG89" s="7"/>
      <c r="AH89" s="11"/>
      <c r="AI89" s="11"/>
      <c r="AJ89" s="11"/>
      <c r="AK89" s="11"/>
      <c r="AL89" s="11"/>
      <c r="AM89" s="11"/>
      <c r="AN89" s="11"/>
      <c r="AQ89" s="7"/>
      <c r="AR89" s="7"/>
      <c r="AS89" s="7"/>
      <c r="AT89" s="7"/>
      <c r="AU89" s="7"/>
      <c r="AV89" s="7"/>
      <c r="AW89" s="7"/>
      <c r="AX89" s="7"/>
    </row>
    <row r="90" spans="8:55">
      <c r="H90" s="7"/>
      <c r="I90" s="7"/>
      <c r="J90" s="7"/>
      <c r="K90" s="7"/>
      <c r="L90" s="7"/>
      <c r="M90" s="7"/>
      <c r="N90" s="7"/>
      <c r="O90" s="11"/>
      <c r="P90" s="11"/>
      <c r="Q90" s="11"/>
      <c r="R90" s="11"/>
      <c r="S90" s="11"/>
      <c r="T90" s="11"/>
      <c r="U90" s="11"/>
      <c r="V90" s="7"/>
      <c r="W90" s="11"/>
      <c r="X90" s="11"/>
      <c r="Y90" s="11"/>
      <c r="Z90" s="11"/>
      <c r="AA90" s="11"/>
      <c r="AD90" s="7"/>
      <c r="AE90" s="11"/>
      <c r="AF90" s="11"/>
      <c r="AG90" s="7"/>
      <c r="AH90" s="11"/>
      <c r="AI90" s="11"/>
      <c r="AJ90" s="11"/>
      <c r="AK90" s="11" t="s">
        <v>18</v>
      </c>
      <c r="AL90" s="13" cm="1">
        <f t="array" ref="AL90:AQ91">V37:AA38</f>
        <v>3.7199999999999998</v>
      </c>
      <c r="AM90" s="13">
        <v>-0.9800000000000002</v>
      </c>
      <c r="AN90" s="13">
        <v>-0.99</v>
      </c>
      <c r="AO90" s="13">
        <v>-3.7800000000000002</v>
      </c>
      <c r="AP90" s="13">
        <v>0.9</v>
      </c>
      <c r="AQ90" s="13">
        <v>-5.23</v>
      </c>
      <c r="AR90" s="7"/>
      <c r="AS90" s="7"/>
      <c r="AT90" s="7"/>
      <c r="AU90" s="7"/>
      <c r="AV90" s="7"/>
      <c r="AW90" s="7"/>
      <c r="AX90" s="7"/>
    </row>
    <row r="91" spans="8:55">
      <c r="H91" s="7"/>
      <c r="I91" s="7"/>
      <c r="J91" s="7"/>
      <c r="N91" s="7"/>
      <c r="P91" s="11"/>
      <c r="Q91" s="11"/>
      <c r="R91" s="11"/>
      <c r="S91" s="11" t="s">
        <v>2</v>
      </c>
      <c r="T91" s="11"/>
      <c r="U91" s="7"/>
      <c r="V91" s="11" t="s">
        <v>19</v>
      </c>
      <c r="W91" s="11"/>
      <c r="X91" s="11"/>
      <c r="Y91" s="11"/>
      <c r="Z91" s="11"/>
      <c r="AA91" s="11"/>
      <c r="AG91" s="11"/>
      <c r="AH91" s="11"/>
      <c r="AI91" s="11"/>
      <c r="AJ91" s="7"/>
      <c r="AK91" s="7"/>
      <c r="AL91" s="14">
        <v>3.5000000000000004</v>
      </c>
      <c r="AM91" s="14">
        <v>4.8900000000000006</v>
      </c>
      <c r="AN91" s="14">
        <v>-0.1</v>
      </c>
      <c r="AO91" s="14">
        <v>3.3000000000000003</v>
      </c>
      <c r="AP91" s="14">
        <v>-0.32</v>
      </c>
      <c r="AQ91" s="14">
        <v>-0.15000000000000013</v>
      </c>
      <c r="AT91" s="7"/>
      <c r="AU91" s="7"/>
      <c r="AV91" s="7"/>
      <c r="AW91" s="7"/>
      <c r="AX91" s="7"/>
      <c r="AY91" s="7"/>
      <c r="AZ91" s="7"/>
      <c r="BA91" s="7"/>
    </row>
    <row r="92" spans="8:55">
      <c r="H92" s="7"/>
      <c r="I92" s="7"/>
      <c r="N92" s="7"/>
      <c r="O92" s="33">
        <v>0</v>
      </c>
      <c r="P92" s="33">
        <v>0</v>
      </c>
      <c r="Q92" s="12">
        <v>0</v>
      </c>
      <c r="R92" s="12">
        <v>-1</v>
      </c>
      <c r="S92" s="12">
        <v>-1</v>
      </c>
      <c r="T92" s="11" t="s">
        <v>3</v>
      </c>
      <c r="U92" s="7"/>
      <c r="V92" s="13" cm="1">
        <f t="array" ref="V92:AA95">MMULT(Q92:S95,_xlfn.ANCHORARRAY(V15))</f>
        <v>-6</v>
      </c>
      <c r="W92" s="13">
        <v>-7</v>
      </c>
      <c r="X92" s="13">
        <v>-2</v>
      </c>
      <c r="Y92" s="13">
        <v>-6</v>
      </c>
      <c r="Z92" s="13">
        <v>0</v>
      </c>
      <c r="AA92" s="13">
        <v>1</v>
      </c>
      <c r="AG92" s="11"/>
      <c r="AH92" s="11"/>
      <c r="AI92" s="11"/>
      <c r="AJ92" s="7"/>
      <c r="AK92" s="35" t="s">
        <v>19</v>
      </c>
      <c r="AL92" s="13">
        <f>V92</f>
        <v>-6</v>
      </c>
      <c r="AM92" s="13">
        <f t="shared" ref="AM92:AM95" si="72">W92</f>
        <v>-7</v>
      </c>
      <c r="AN92" s="13">
        <f t="shared" ref="AN92:AN95" si="73">X92</f>
        <v>-2</v>
      </c>
      <c r="AO92" s="13">
        <f t="shared" ref="AO92:AO95" si="74">Y92</f>
        <v>-6</v>
      </c>
      <c r="AP92" s="13">
        <f t="shared" ref="AP92:AP95" si="75">Z92</f>
        <v>0</v>
      </c>
      <c r="AQ92" s="13">
        <f t="shared" ref="AQ92:AQ95" si="76">AA92</f>
        <v>1</v>
      </c>
      <c r="AT92" s="7"/>
      <c r="AU92" s="7"/>
      <c r="AV92" s="7"/>
      <c r="AW92" s="7"/>
      <c r="AX92" s="7"/>
      <c r="AY92" s="7"/>
      <c r="AZ92" s="7"/>
      <c r="BA92" s="7"/>
    </row>
    <row r="93" spans="8:55">
      <c r="H93" s="7"/>
      <c r="I93" s="7"/>
      <c r="N93" s="7"/>
      <c r="O93" s="33">
        <v>0</v>
      </c>
      <c r="P93" s="33">
        <v>0</v>
      </c>
      <c r="Q93" s="12">
        <v>0</v>
      </c>
      <c r="R93" s="12">
        <v>1</v>
      </c>
      <c r="S93" s="12">
        <v>-1</v>
      </c>
      <c r="T93" s="11" t="s">
        <v>3</v>
      </c>
      <c r="U93" s="7"/>
      <c r="V93" s="14">
        <v>-2</v>
      </c>
      <c r="W93" s="14">
        <v>-5</v>
      </c>
      <c r="X93" s="14">
        <v>0</v>
      </c>
      <c r="Y93" s="14">
        <v>-2</v>
      </c>
      <c r="Z93" s="14">
        <v>0</v>
      </c>
      <c r="AA93" s="14">
        <v>-3</v>
      </c>
      <c r="AG93" s="11"/>
      <c r="AH93" s="11"/>
      <c r="AI93" s="11"/>
      <c r="AJ93" s="7"/>
      <c r="AK93" s="11"/>
      <c r="AL93" s="13">
        <f t="shared" ref="AL93:AL95" si="77">V93</f>
        <v>-2</v>
      </c>
      <c r="AM93" s="13">
        <f t="shared" si="72"/>
        <v>-5</v>
      </c>
      <c r="AN93" s="13">
        <f t="shared" si="73"/>
        <v>0</v>
      </c>
      <c r="AO93" s="13">
        <f t="shared" si="74"/>
        <v>-2</v>
      </c>
      <c r="AP93" s="13">
        <f t="shared" si="75"/>
        <v>0</v>
      </c>
      <c r="AQ93" s="13">
        <f t="shared" si="76"/>
        <v>-3</v>
      </c>
      <c r="AT93" s="7"/>
      <c r="AU93" s="7"/>
      <c r="AV93" s="7"/>
      <c r="AW93" s="7"/>
      <c r="AX93" s="7"/>
      <c r="AY93" s="7"/>
      <c r="AZ93" s="7"/>
      <c r="BA93" s="7"/>
    </row>
    <row r="94" spans="8:55">
      <c r="H94" s="7"/>
      <c r="I94" s="7"/>
      <c r="N94" s="7"/>
      <c r="O94" s="33">
        <v>1</v>
      </c>
      <c r="P94" s="33">
        <v>0</v>
      </c>
      <c r="Q94" s="12">
        <v>1</v>
      </c>
      <c r="R94" s="12">
        <v>1</v>
      </c>
      <c r="S94" s="12">
        <v>1</v>
      </c>
      <c r="T94" s="11" t="s">
        <v>3</v>
      </c>
      <c r="U94" s="7"/>
      <c r="V94" s="14">
        <v>10</v>
      </c>
      <c r="W94" s="14">
        <v>13</v>
      </c>
      <c r="X94" s="14">
        <v>2</v>
      </c>
      <c r="Y94" s="14">
        <v>10</v>
      </c>
      <c r="Z94" s="14">
        <v>-1</v>
      </c>
      <c r="AA94" s="14">
        <v>5</v>
      </c>
      <c r="AG94" s="11"/>
      <c r="AH94" s="11"/>
      <c r="AI94" s="11"/>
      <c r="AJ94" s="7"/>
      <c r="AK94" s="11"/>
      <c r="AL94" s="13">
        <f t="shared" si="77"/>
        <v>10</v>
      </c>
      <c r="AM94" s="13">
        <f t="shared" si="72"/>
        <v>13</v>
      </c>
      <c r="AN94" s="13">
        <f t="shared" si="73"/>
        <v>2</v>
      </c>
      <c r="AO94" s="13">
        <f t="shared" si="74"/>
        <v>10</v>
      </c>
      <c r="AP94" s="13">
        <f t="shared" si="75"/>
        <v>-1</v>
      </c>
      <c r="AQ94" s="13">
        <f t="shared" si="76"/>
        <v>5</v>
      </c>
      <c r="AT94" s="7"/>
      <c r="AU94" s="7"/>
      <c r="AV94" s="7"/>
      <c r="AW94" s="7"/>
      <c r="AX94" s="7"/>
      <c r="AY94" s="7"/>
      <c r="AZ94" s="7"/>
      <c r="BA94" s="7"/>
    </row>
    <row r="95" spans="8:55">
      <c r="O95" s="33">
        <v>1</v>
      </c>
      <c r="P95" s="33">
        <v>0</v>
      </c>
      <c r="Q95" s="12">
        <v>0</v>
      </c>
      <c r="R95" s="12">
        <v>1</v>
      </c>
      <c r="S95" s="12">
        <v>1</v>
      </c>
      <c r="T95" s="11" t="s">
        <v>3</v>
      </c>
      <c r="U95" s="7"/>
      <c r="V95" s="15">
        <v>6</v>
      </c>
      <c r="W95" s="15">
        <v>7</v>
      </c>
      <c r="X95" s="15">
        <v>2</v>
      </c>
      <c r="Y95" s="15">
        <v>6</v>
      </c>
      <c r="Z95" s="15">
        <v>0</v>
      </c>
      <c r="AA95" s="15">
        <v>-1</v>
      </c>
      <c r="AG95" s="11"/>
      <c r="AH95" s="11"/>
      <c r="AI95" s="11"/>
      <c r="AJ95" s="7"/>
      <c r="AK95" s="11"/>
      <c r="AL95" s="57">
        <f t="shared" si="77"/>
        <v>6</v>
      </c>
      <c r="AM95" s="57">
        <f t="shared" si="72"/>
        <v>7</v>
      </c>
      <c r="AN95" s="57">
        <f t="shared" si="73"/>
        <v>2</v>
      </c>
      <c r="AO95" s="57">
        <f t="shared" si="74"/>
        <v>6</v>
      </c>
      <c r="AP95" s="57">
        <f t="shared" si="75"/>
        <v>0</v>
      </c>
      <c r="AQ95" s="57">
        <f t="shared" si="76"/>
        <v>-1</v>
      </c>
      <c r="AT95" s="7"/>
      <c r="AU95" s="7"/>
      <c r="AV95" s="7"/>
      <c r="AW95" s="7"/>
      <c r="AX95" s="7"/>
      <c r="AY95" s="7"/>
      <c r="AZ95" s="7"/>
      <c r="BA95" s="7"/>
    </row>
    <row r="96" spans="8:55">
      <c r="P96" s="11"/>
      <c r="Q96" s="11"/>
      <c r="R96" s="11"/>
      <c r="S96" s="11" t="s">
        <v>4</v>
      </c>
      <c r="T96" s="11"/>
      <c r="U96" s="7"/>
      <c r="V96" s="7" t="s">
        <v>20</v>
      </c>
      <c r="W96" s="11"/>
      <c r="X96" s="11"/>
      <c r="Y96" s="11"/>
      <c r="Z96" s="11"/>
      <c r="AA96" s="11"/>
      <c r="AG96" s="16"/>
      <c r="AH96" s="11"/>
      <c r="AI96" s="11"/>
      <c r="AJ96" s="7"/>
      <c r="AK96" s="11"/>
      <c r="AL96" s="16" t="s">
        <v>5</v>
      </c>
      <c r="AM96" s="11"/>
      <c r="AN96" s="11"/>
      <c r="AO96" s="11"/>
      <c r="AP96" s="7"/>
      <c r="AQ96" s="7"/>
      <c r="AS96" s="11" t="s">
        <v>6</v>
      </c>
      <c r="AT96" s="7"/>
      <c r="AU96" s="54" t="s">
        <v>68</v>
      </c>
      <c r="AV96" s="7"/>
      <c r="AW96" s="7"/>
      <c r="AX96" s="7"/>
      <c r="AY96" s="7"/>
      <c r="AZ96" s="7"/>
      <c r="BA96" s="7"/>
      <c r="BC96" t="s">
        <v>67</v>
      </c>
    </row>
    <row r="97" spans="8:66">
      <c r="O97" s="33">
        <v>0</v>
      </c>
      <c r="P97" s="33">
        <v>1</v>
      </c>
      <c r="Q97" s="33">
        <v>1</v>
      </c>
      <c r="R97" s="12">
        <v>1</v>
      </c>
      <c r="S97" s="12">
        <v>0</v>
      </c>
      <c r="T97" s="11" t="s">
        <v>3</v>
      </c>
      <c r="U97" s="7"/>
      <c r="V97" s="13" cm="1">
        <f t="array" ref="V97:AA100">MMULT(R97:S100,_xlfn.ANCHORARRAY(V20))</f>
        <v>2</v>
      </c>
      <c r="W97" s="13">
        <v>3</v>
      </c>
      <c r="X97" s="13">
        <v>-2</v>
      </c>
      <c r="Y97" s="13">
        <v>2</v>
      </c>
      <c r="Z97" s="13">
        <v>-2</v>
      </c>
      <c r="AA97" s="13">
        <v>4</v>
      </c>
      <c r="AE97" t="s">
        <v>21</v>
      </c>
      <c r="AG97" s="7" t="s">
        <v>20</v>
      </c>
      <c r="AH97" s="11"/>
      <c r="AI97" s="11"/>
      <c r="AJ97" s="7"/>
      <c r="AK97" s="11"/>
      <c r="AL97" s="11" t="s">
        <v>1</v>
      </c>
      <c r="AM97" s="11" t="s">
        <v>1</v>
      </c>
      <c r="AN97" s="11" t="s">
        <v>1</v>
      </c>
      <c r="AO97" s="11" t="s">
        <v>1</v>
      </c>
      <c r="AP97" s="11" t="s">
        <v>1</v>
      </c>
      <c r="AQ97" s="11" t="s">
        <v>1</v>
      </c>
      <c r="AS97" s="11"/>
      <c r="AT97" s="11">
        <v>1</v>
      </c>
      <c r="AU97" s="11">
        <v>2</v>
      </c>
      <c r="AV97" s="11">
        <v>3</v>
      </c>
      <c r="AW97" s="11">
        <v>4</v>
      </c>
      <c r="AX97" s="11">
        <v>5</v>
      </c>
      <c r="AY97" s="11">
        <v>6</v>
      </c>
      <c r="AZ97" s="7"/>
      <c r="BA97" s="7"/>
      <c r="BD97">
        <v>1</v>
      </c>
      <c r="BF97">
        <v>2</v>
      </c>
      <c r="BH97">
        <v>3</v>
      </c>
      <c r="BJ97">
        <v>4</v>
      </c>
      <c r="BL97">
        <v>5</v>
      </c>
      <c r="BN97">
        <v>6</v>
      </c>
    </row>
    <row r="98" spans="8:66">
      <c r="H98" s="7"/>
      <c r="I98" s="7"/>
      <c r="O98" s="33">
        <v>0</v>
      </c>
      <c r="P98" s="33">
        <v>0</v>
      </c>
      <c r="Q98" s="33">
        <v>0</v>
      </c>
      <c r="R98" s="12">
        <v>0</v>
      </c>
      <c r="S98" s="12">
        <v>1</v>
      </c>
      <c r="T98" s="11" t="s">
        <v>3</v>
      </c>
      <c r="U98" s="7"/>
      <c r="V98" s="14">
        <v>-1</v>
      </c>
      <c r="W98" s="14">
        <v>0</v>
      </c>
      <c r="X98" s="14">
        <v>-1</v>
      </c>
      <c r="Y98" s="14">
        <v>-1</v>
      </c>
      <c r="Z98" s="14">
        <v>-1</v>
      </c>
      <c r="AA98" s="14">
        <v>-3</v>
      </c>
      <c r="AD98" s="11">
        <v>1</v>
      </c>
      <c r="AE98" s="17" cm="1">
        <f t="array" ref="AE98:AF103">TRANSPOSE(V29:AA30)</f>
        <v>3.7199999999999998</v>
      </c>
      <c r="AF98" s="18">
        <v>3.5000000000000004</v>
      </c>
      <c r="AG98" s="17" cm="1">
        <f t="array" ref="AG98:AJ103">TRANSPOSE(V97:AA100)</f>
        <v>2</v>
      </c>
      <c r="AH98" s="18">
        <v>-1</v>
      </c>
      <c r="AI98" s="18">
        <v>2</v>
      </c>
      <c r="AJ98" s="19">
        <v>-1</v>
      </c>
      <c r="AK98" s="11" t="s">
        <v>3</v>
      </c>
      <c r="AL98" s="20" cm="1">
        <f t="array" ref="AL98:AQ103">MMULT(AE98:AJ103,AL90:AQ95)/SQRT(6)</f>
        <v>12.283537862792897</v>
      </c>
      <c r="AM98" s="21">
        <v>9.5813424282125901</v>
      </c>
      <c r="AN98" s="21">
        <v>-2.4628802867103929</v>
      </c>
      <c r="AO98" s="21">
        <v>0.60763675552641461</v>
      </c>
      <c r="AP98" s="21">
        <v>9.3080610225760682E-2</v>
      </c>
      <c r="AQ98" s="22">
        <v>-1.6250731450204543</v>
      </c>
      <c r="AS98" s="11">
        <v>1</v>
      </c>
      <c r="AT98" s="94" cm="1">
        <f t="array" ref="AT98:AT103">SOFTMAX(AL98:AL103)</f>
        <v>0.86825785856790549</v>
      </c>
      <c r="AU98" s="94" cm="1">
        <f t="array" ref="AU98:AU103">SOFTMAX(AM98:AM103)</f>
        <v>3.6095501411570865E-4</v>
      </c>
      <c r="AV98" s="94" cm="1">
        <f t="array" ref="AV98:AV103">SOFTMAX(AN98:AN103)</f>
        <v>1.7841749413132452E-2</v>
      </c>
      <c r="AW98" s="94" cm="1">
        <f t="array" ref="AW98:AW103">SOFTMAX(AO98:AO103)</f>
        <v>3.0374035131069966E-6</v>
      </c>
      <c r="AX98" s="94" cm="1">
        <f t="array" ref="AX98:AX103">SOFTMAX(AP98:AP103)</f>
        <v>0.17749430291020749</v>
      </c>
      <c r="AY98" s="94" cm="1">
        <f t="array" ref="AY98:AY103">SOFTMAX(AQ98:AQ103)</f>
        <v>1.14229431109732E-12</v>
      </c>
      <c r="AZ98" s="7"/>
      <c r="BA98" s="7"/>
      <c r="BC98">
        <f>EXP(AL98)</f>
        <v>216108.92950086409</v>
      </c>
      <c r="BD98" s="53">
        <f>BC98/$BC$104</f>
        <v>0.86825785856790549</v>
      </c>
      <c r="BE98">
        <f>EXP(AM98)</f>
        <v>14491.860532527046</v>
      </c>
      <c r="BF98" s="53">
        <f>BE98/$BE$104</f>
        <v>3.6095501411570865E-4</v>
      </c>
      <c r="BG98">
        <f>EXP(AN98)</f>
        <v>8.5189227859825065E-2</v>
      </c>
      <c r="BH98" s="53">
        <f>BG98/$BG$104</f>
        <v>1.7841749413132452E-2</v>
      </c>
      <c r="BI98">
        <f>EXP(AO98)</f>
        <v>1.8360871447384941</v>
      </c>
      <c r="BJ98" s="53">
        <f>BI98/$BI$104</f>
        <v>3.0374035131069966E-6</v>
      </c>
      <c r="BK98">
        <f>EXP(AP98)</f>
        <v>1.0975502054720794</v>
      </c>
      <c r="BL98" s="53">
        <f>BK98/$BK$104</f>
        <v>0.17749430291020749</v>
      </c>
      <c r="BM98">
        <f>EXP(AQ98)</f>
        <v>0.19689727262242854</v>
      </c>
      <c r="BN98" s="53">
        <f>BM98/$BM$104</f>
        <v>1.14229431109732E-12</v>
      </c>
    </row>
    <row r="99" spans="8:66">
      <c r="H99" s="7"/>
      <c r="I99" s="7"/>
      <c r="N99" s="7"/>
      <c r="O99" s="33">
        <v>1</v>
      </c>
      <c r="P99" s="33">
        <v>0</v>
      </c>
      <c r="Q99" s="33">
        <v>1</v>
      </c>
      <c r="R99" s="12">
        <v>1</v>
      </c>
      <c r="S99" s="12">
        <v>0</v>
      </c>
      <c r="T99" s="11" t="s">
        <v>3</v>
      </c>
      <c r="U99" s="7"/>
      <c r="V99" s="14">
        <v>2</v>
      </c>
      <c r="W99" s="14">
        <v>3</v>
      </c>
      <c r="X99" s="14">
        <v>-2</v>
      </c>
      <c r="Y99" s="14">
        <v>2</v>
      </c>
      <c r="Z99" s="14">
        <v>-2</v>
      </c>
      <c r="AA99" s="14">
        <v>4</v>
      </c>
      <c r="AD99" s="11">
        <v>2</v>
      </c>
      <c r="AE99" s="17">
        <v>-0.9800000000000002</v>
      </c>
      <c r="AF99" s="18">
        <v>4.8900000000000006</v>
      </c>
      <c r="AG99" s="17">
        <v>3</v>
      </c>
      <c r="AH99" s="18">
        <v>0</v>
      </c>
      <c r="AI99" s="18">
        <v>3</v>
      </c>
      <c r="AJ99" s="19">
        <v>0</v>
      </c>
      <c r="AK99" s="11" t="s">
        <v>3</v>
      </c>
      <c r="AL99" s="23">
        <v>10.397839009140316</v>
      </c>
      <c r="AM99" s="14">
        <v>17.50262483291197</v>
      </c>
      <c r="AN99" s="14">
        <v>0.19644907737121103</v>
      </c>
      <c r="AO99" s="14">
        <v>12.999197115976051</v>
      </c>
      <c r="AP99" s="14">
        <v>-2.2236467884985696</v>
      </c>
      <c r="AQ99" s="24">
        <v>9.141454895237775</v>
      </c>
      <c r="AS99" s="11">
        <v>2</v>
      </c>
      <c r="AT99" s="94">
        <v>0.13173467857041771</v>
      </c>
      <c r="AU99" s="94">
        <v>0.99454014216480979</v>
      </c>
      <c r="AV99" s="94">
        <v>0.25489980533751866</v>
      </c>
      <c r="AW99" s="94">
        <v>0.73128855679523086</v>
      </c>
      <c r="AX99" s="94">
        <v>1.75001790690721E-2</v>
      </c>
      <c r="AY99" s="94">
        <v>5.4152901508200942E-8</v>
      </c>
      <c r="AZ99" s="7"/>
      <c r="BA99" s="7"/>
      <c r="BC99">
        <f t="shared" ref="BC99:BC103" si="78">EXP(AL99)</f>
        <v>32788.692993749464</v>
      </c>
      <c r="BD99" s="53">
        <f t="shared" ref="BD99:BD103" si="79">BC99/$BC$104</f>
        <v>0.13173467857041771</v>
      </c>
      <c r="BE99">
        <f t="shared" ref="BE99:BE103" si="80">EXP(AM99)</f>
        <v>39929455.113849342</v>
      </c>
      <c r="BF99" s="53">
        <f t="shared" ref="BF99:BF103" si="81">BE99/$BE$104</f>
        <v>0.99454014216480979</v>
      </c>
      <c r="BG99">
        <f t="shared" ref="BG99:BG103" si="82">EXP(AN99)</f>
        <v>1.2170733427261216</v>
      </c>
      <c r="BH99" s="53">
        <f t="shared" ref="BH99:BH103" si="83">BG99/$BG$104</f>
        <v>0.25489980533751866</v>
      </c>
      <c r="BI99">
        <f t="shared" ref="BI99:BI103" si="84">EXP(AO99)</f>
        <v>442058.32792121056</v>
      </c>
      <c r="BJ99" s="53">
        <f t="shared" ref="BJ99:BJ103" si="85">BI99/$BI$104</f>
        <v>0.73128855679523086</v>
      </c>
      <c r="BK99">
        <f t="shared" ref="BK99:BK103" si="86">EXP(AP99)</f>
        <v>0.10821375569882405</v>
      </c>
      <c r="BL99" s="53">
        <f t="shared" ref="BL99:BL102" si="87">BK99/$BK$104</f>
        <v>1.75001790690721E-2</v>
      </c>
      <c r="BM99">
        <f t="shared" ref="BM99:BM103" si="88">EXP(AQ99)</f>
        <v>9334.3357381452843</v>
      </c>
      <c r="BN99" s="53">
        <f t="shared" ref="BN99:BN103" si="89">BM99/$BM$104</f>
        <v>5.4152901508200942E-8</v>
      </c>
    </row>
    <row r="100" spans="8:66">
      <c r="H100" s="7"/>
      <c r="I100" s="7"/>
      <c r="N100" s="7"/>
      <c r="O100" s="33">
        <v>0</v>
      </c>
      <c r="P100" s="33">
        <v>0</v>
      </c>
      <c r="Q100" s="33">
        <v>0</v>
      </c>
      <c r="R100" s="12">
        <v>0</v>
      </c>
      <c r="S100" s="12">
        <v>1</v>
      </c>
      <c r="T100" s="11" t="s">
        <v>3</v>
      </c>
      <c r="V100" s="15">
        <v>-1</v>
      </c>
      <c r="W100" s="15">
        <v>0</v>
      </c>
      <c r="X100" s="15">
        <v>-1</v>
      </c>
      <c r="Y100" s="15">
        <v>-1</v>
      </c>
      <c r="Z100" s="15">
        <v>-1</v>
      </c>
      <c r="AA100" s="15">
        <v>-3</v>
      </c>
      <c r="AD100" s="11">
        <v>3</v>
      </c>
      <c r="AE100" s="17">
        <v>-0.99</v>
      </c>
      <c r="AF100" s="18">
        <v>-0.1</v>
      </c>
      <c r="AG100" s="17">
        <v>-2</v>
      </c>
      <c r="AH100" s="18">
        <v>-1</v>
      </c>
      <c r="AI100" s="18">
        <v>-2</v>
      </c>
      <c r="AJ100" s="19">
        <v>-1</v>
      </c>
      <c r="AK100" s="11" t="s">
        <v>3</v>
      </c>
      <c r="AL100" s="23">
        <v>-6.5453631913490247</v>
      </c>
      <c r="AM100" s="14">
        <v>-5.5190269891228709</v>
      </c>
      <c r="AN100" s="14">
        <v>-0.41228994853945533</v>
      </c>
      <c r="AO100" s="14">
        <v>-3.5059546688455638</v>
      </c>
      <c r="AP100" s="14">
        <v>0.46581129941926774</v>
      </c>
      <c r="AQ100" s="24">
        <v>-1.1460754258192025</v>
      </c>
      <c r="AS100" s="11">
        <v>3</v>
      </c>
      <c r="AT100" s="94">
        <v>5.7724595014472736E-9</v>
      </c>
      <c r="AU100" s="94">
        <v>9.9872510394198958E-11</v>
      </c>
      <c r="AV100" s="94">
        <v>0.13867478586489379</v>
      </c>
      <c r="AW100" s="94">
        <v>4.9658367079911757E-8</v>
      </c>
      <c r="AX100" s="94">
        <v>0.25766729573330077</v>
      </c>
      <c r="AY100" s="94">
        <v>1.8441832798319992E-12</v>
      </c>
      <c r="AZ100" s="7"/>
      <c r="BA100" s="7"/>
      <c r="BC100">
        <f t="shared" si="78"/>
        <v>1.4367621682139925E-3</v>
      </c>
      <c r="BD100" s="53">
        <f t="shared" si="79"/>
        <v>5.7724595014472736E-9</v>
      </c>
      <c r="BE100">
        <f t="shared" si="80"/>
        <v>4.009747572593981E-3</v>
      </c>
      <c r="BF100" s="53">
        <f t="shared" si="81"/>
        <v>9.9872510394198958E-11</v>
      </c>
      <c r="BG100">
        <f t="shared" si="82"/>
        <v>0.66213226393379698</v>
      </c>
      <c r="BH100" s="53">
        <f t="shared" si="83"/>
        <v>0.13867478586489379</v>
      </c>
      <c r="BI100">
        <f t="shared" si="84"/>
        <v>3.0018102313599113E-2</v>
      </c>
      <c r="BJ100" s="53">
        <f t="shared" si="85"/>
        <v>4.9658367079911757E-8</v>
      </c>
      <c r="BK100">
        <f t="shared" si="86"/>
        <v>1.5933063131529708</v>
      </c>
      <c r="BL100" s="53">
        <f t="shared" si="87"/>
        <v>0.25766729573330077</v>
      </c>
      <c r="BM100">
        <f t="shared" si="88"/>
        <v>0.31788187552644592</v>
      </c>
      <c r="BN100" s="53">
        <f t="shared" si="89"/>
        <v>1.8441832798319992E-12</v>
      </c>
    </row>
    <row r="101" spans="8:66">
      <c r="H101" s="7"/>
      <c r="I101" s="7"/>
      <c r="N101" s="7"/>
      <c r="P101" s="11"/>
      <c r="Q101" s="11"/>
      <c r="R101" s="11"/>
      <c r="S101" s="16" t="s">
        <v>7</v>
      </c>
      <c r="T101" s="11"/>
      <c r="U101" s="7"/>
      <c r="V101" s="11" t="s">
        <v>37</v>
      </c>
      <c r="W101" s="11"/>
      <c r="X101" s="11"/>
      <c r="Y101" s="11"/>
      <c r="Z101" s="11"/>
      <c r="AA101" s="11"/>
      <c r="AD101" s="11">
        <v>4</v>
      </c>
      <c r="AE101" s="17">
        <v>-3.7800000000000002</v>
      </c>
      <c r="AF101" s="18">
        <v>3.3000000000000003</v>
      </c>
      <c r="AG101" s="17">
        <v>2</v>
      </c>
      <c r="AH101" s="18">
        <v>-1</v>
      </c>
      <c r="AI101" s="18">
        <v>2</v>
      </c>
      <c r="AJ101" s="19">
        <v>-1</v>
      </c>
      <c r="AK101" s="11" t="s">
        <v>3</v>
      </c>
      <c r="AL101" s="23">
        <v>0.60763675552641461</v>
      </c>
      <c r="AM101" s="14">
        <v>12.182700535048326</v>
      </c>
      <c r="AN101" s="14">
        <v>0.57652823579306756</v>
      </c>
      <c r="AO101" s="14">
        <v>11.912031918470783</v>
      </c>
      <c r="AP101" s="14">
        <v>-2.6364674598156275</v>
      </c>
      <c r="AQ101" s="24">
        <v>14.40071349713849</v>
      </c>
      <c r="AS101" s="11">
        <v>4</v>
      </c>
      <c r="AT101" s="94">
        <v>7.3768219393652147E-6</v>
      </c>
      <c r="AU101" s="94">
        <v>4.866408369043106E-3</v>
      </c>
      <c r="AV101" s="94">
        <v>0.37276556356071711</v>
      </c>
      <c r="AW101" s="94">
        <v>0.24656925981365024</v>
      </c>
      <c r="AX101" s="94">
        <v>1.1581285103133851E-2</v>
      </c>
      <c r="AY101" s="94">
        <v>1.041570619228358E-5</v>
      </c>
      <c r="AZ101" s="7"/>
      <c r="BA101" s="7"/>
      <c r="BC101">
        <f t="shared" si="78"/>
        <v>1.8360871447384941</v>
      </c>
      <c r="BD101" s="53">
        <f t="shared" si="79"/>
        <v>7.3768219393652147E-6</v>
      </c>
      <c r="BE101">
        <f t="shared" si="80"/>
        <v>195379.78036201475</v>
      </c>
      <c r="BF101" s="53">
        <f t="shared" si="81"/>
        <v>4.866408369043106E-3</v>
      </c>
      <c r="BG101">
        <f t="shared" si="82"/>
        <v>1.7798484777000767</v>
      </c>
      <c r="BH101" s="53">
        <f t="shared" si="83"/>
        <v>0.37276556356071711</v>
      </c>
      <c r="BI101">
        <f t="shared" si="84"/>
        <v>149049.22782828863</v>
      </c>
      <c r="BJ101" s="53">
        <f t="shared" si="85"/>
        <v>0.24656925981365024</v>
      </c>
      <c r="BK101">
        <f t="shared" si="86"/>
        <v>7.1613801886394476E-2</v>
      </c>
      <c r="BL101" s="53">
        <f t="shared" si="87"/>
        <v>1.1581285103133851E-2</v>
      </c>
      <c r="BM101">
        <f t="shared" si="88"/>
        <v>1795355.2965934826</v>
      </c>
      <c r="BN101" s="53">
        <f t="shared" si="89"/>
        <v>1.041570619228358E-5</v>
      </c>
    </row>
    <row r="102" spans="8:66">
      <c r="H102" s="7"/>
      <c r="I102" s="7"/>
      <c r="N102" s="7"/>
      <c r="O102" s="33">
        <v>0</v>
      </c>
      <c r="P102" s="33">
        <v>1</v>
      </c>
      <c r="Q102" s="33">
        <v>0</v>
      </c>
      <c r="R102" s="12">
        <v>1</v>
      </c>
      <c r="S102" s="12">
        <v>0</v>
      </c>
      <c r="T102" s="11" t="s">
        <v>3</v>
      </c>
      <c r="U102" s="7"/>
      <c r="V102" s="13" cm="1">
        <f t="array" ref="V102:AA105">MMULT(R102:S105,_xlfn.ANCHORARRAY(V20))</f>
        <v>2</v>
      </c>
      <c r="W102" s="13">
        <v>3</v>
      </c>
      <c r="X102" s="13">
        <v>-2</v>
      </c>
      <c r="Y102" s="13">
        <v>2</v>
      </c>
      <c r="Z102" s="13">
        <v>-2</v>
      </c>
      <c r="AA102" s="13">
        <v>4</v>
      </c>
      <c r="AD102" s="11">
        <v>5</v>
      </c>
      <c r="AE102" s="17">
        <v>0.9</v>
      </c>
      <c r="AF102" s="18">
        <v>-0.32</v>
      </c>
      <c r="AG102" s="17">
        <v>-2</v>
      </c>
      <c r="AH102" s="18">
        <v>-1</v>
      </c>
      <c r="AI102" s="18">
        <v>-2</v>
      </c>
      <c r="AJ102" s="19">
        <v>-1</v>
      </c>
      <c r="AK102" s="11" t="s">
        <v>3</v>
      </c>
      <c r="AL102" s="23">
        <v>-3.9894022944128693</v>
      </c>
      <c r="AM102" s="14">
        <v>-6.7143779836010626</v>
      </c>
      <c r="AN102" s="14">
        <v>-1.1671818624361845</v>
      </c>
      <c r="AO102" s="14">
        <v>-6.7189503644542574</v>
      </c>
      <c r="AP102" s="14">
        <v>1.1889823211469548</v>
      </c>
      <c r="AQ102" s="24">
        <v>-5.1680151089820425</v>
      </c>
      <c r="AS102" s="11">
        <v>5</v>
      </c>
      <c r="AT102" s="94">
        <v>7.4370484051312216E-8</v>
      </c>
      <c r="AU102" s="94">
        <v>3.0221194476235736E-11</v>
      </c>
      <c r="AV102" s="94">
        <v>6.5185666635924733E-2</v>
      </c>
      <c r="AW102" s="94">
        <v>1.9980489949672675E-9</v>
      </c>
      <c r="AX102" s="94">
        <v>0.53104152677903949</v>
      </c>
      <c r="AY102" s="94">
        <v>3.3044399895883456E-14</v>
      </c>
      <c r="AZ102" s="7"/>
      <c r="BA102" s="7"/>
      <c r="BC102">
        <f t="shared" si="78"/>
        <v>1.8510774807497105E-2</v>
      </c>
      <c r="BD102" s="53">
        <f t="shared" si="79"/>
        <v>7.4370484051312216E-8</v>
      </c>
      <c r="BE102">
        <f t="shared" si="80"/>
        <v>1.2133404949337841E-3</v>
      </c>
      <c r="BF102" s="53">
        <f t="shared" si="81"/>
        <v>3.0221194476235736E-11</v>
      </c>
      <c r="BG102">
        <f t="shared" si="82"/>
        <v>0.31124283161128846</v>
      </c>
      <c r="BH102" s="53">
        <f t="shared" si="83"/>
        <v>6.5185666635924733E-2</v>
      </c>
      <c r="BI102">
        <f t="shared" si="84"/>
        <v>1.2078053042298687E-3</v>
      </c>
      <c r="BJ102" s="53">
        <f t="shared" si="85"/>
        <v>1.9980489949672675E-9</v>
      </c>
      <c r="BK102">
        <f t="shared" si="86"/>
        <v>3.2837377159389542</v>
      </c>
      <c r="BL102" s="53">
        <f t="shared" si="87"/>
        <v>0.53104152677903949</v>
      </c>
      <c r="BM102">
        <f t="shared" si="88"/>
        <v>5.6958632742328281E-3</v>
      </c>
      <c r="BN102" s="53">
        <f t="shared" si="89"/>
        <v>3.3044399895883456E-14</v>
      </c>
    </row>
    <row r="103" spans="8:66">
      <c r="H103" s="7"/>
      <c r="I103" s="7"/>
      <c r="K103" s="7"/>
      <c r="O103" s="33">
        <v>1</v>
      </c>
      <c r="P103" s="33">
        <v>0</v>
      </c>
      <c r="Q103" s="33">
        <v>0</v>
      </c>
      <c r="R103" s="12">
        <v>1</v>
      </c>
      <c r="S103" s="12">
        <v>1</v>
      </c>
      <c r="T103" s="11" t="s">
        <v>3</v>
      </c>
      <c r="U103" s="7"/>
      <c r="V103" s="14">
        <v>1</v>
      </c>
      <c r="W103" s="14">
        <v>3</v>
      </c>
      <c r="X103" s="14">
        <v>-3</v>
      </c>
      <c r="Y103" s="14">
        <v>1</v>
      </c>
      <c r="Z103" s="14">
        <v>-3</v>
      </c>
      <c r="AA103" s="14">
        <v>1</v>
      </c>
      <c r="AD103" s="11">
        <v>6</v>
      </c>
      <c r="AE103" s="17">
        <v>-5.23</v>
      </c>
      <c r="AF103" s="18">
        <v>-0.15000000000000013</v>
      </c>
      <c r="AG103" s="17">
        <v>4</v>
      </c>
      <c r="AH103" s="18">
        <v>-3</v>
      </c>
      <c r="AI103" s="18">
        <v>4</v>
      </c>
      <c r="AJ103" s="19">
        <v>-3</v>
      </c>
      <c r="AK103" s="11" t="s">
        <v>3</v>
      </c>
      <c r="AL103" s="25">
        <v>-6.5240526305868105</v>
      </c>
      <c r="AM103" s="26">
        <v>9.141454895237775</v>
      </c>
      <c r="AN103" s="26">
        <v>-0.32957884489147654</v>
      </c>
      <c r="AO103" s="26">
        <v>9.5017340115721343</v>
      </c>
      <c r="AP103" s="26">
        <v>-3.5350219471265905</v>
      </c>
      <c r="AQ103" s="27">
        <v>25.872898707463509</v>
      </c>
      <c r="AS103" s="11">
        <v>6</v>
      </c>
      <c r="AT103" s="103">
        <v>5.8967939635529526E-9</v>
      </c>
      <c r="AU103" s="103">
        <v>2.3249432193752083E-4</v>
      </c>
      <c r="AV103" s="103">
        <v>0.15063242918781322</v>
      </c>
      <c r="AW103" s="103">
        <v>2.2139094331189473E-2</v>
      </c>
      <c r="AX103" s="103">
        <v>4.7154104052463171E-3</v>
      </c>
      <c r="AY103" s="103">
        <v>0.99998953013788672</v>
      </c>
      <c r="AZ103" s="7"/>
      <c r="BA103" s="7"/>
      <c r="BC103">
        <f t="shared" si="78"/>
        <v>1.4677089511778033E-3</v>
      </c>
      <c r="BD103" s="53">
        <f t="shared" si="79"/>
        <v>5.8967939635529526E-9</v>
      </c>
      <c r="BE103">
        <f t="shared" si="80"/>
        <v>9334.3357381452843</v>
      </c>
      <c r="BF103" s="53">
        <f t="shared" si="81"/>
        <v>2.3249432193752083E-4</v>
      </c>
      <c r="BG103">
        <f t="shared" si="82"/>
        <v>0.71922657560218706</v>
      </c>
      <c r="BH103" s="53">
        <f t="shared" si="83"/>
        <v>0.15063242918781322</v>
      </c>
      <c r="BI103">
        <f t="shared" si="84"/>
        <v>13382.912847186773</v>
      </c>
      <c r="BJ103" s="53">
        <f t="shared" si="85"/>
        <v>2.2139094331189473E-2</v>
      </c>
      <c r="BK103">
        <f t="shared" si="86"/>
        <v>2.9158117045488818E-2</v>
      </c>
      <c r="BL103" s="53">
        <f t="shared" ref="BL103" si="90">BK103/$BK$80</f>
        <v>4.8654223460685051E-4</v>
      </c>
      <c r="BM103">
        <f t="shared" si="88"/>
        <v>172368197252.06424</v>
      </c>
      <c r="BN103" s="53">
        <f t="shared" si="89"/>
        <v>0.99998953013788672</v>
      </c>
    </row>
    <row r="104" spans="8:66">
      <c r="O104" s="33">
        <v>1</v>
      </c>
      <c r="P104" s="33">
        <v>0</v>
      </c>
      <c r="Q104" s="33">
        <v>0</v>
      </c>
      <c r="R104" s="12">
        <v>1</v>
      </c>
      <c r="S104" s="12">
        <v>0</v>
      </c>
      <c r="T104" s="11" t="s">
        <v>3</v>
      </c>
      <c r="U104" s="7"/>
      <c r="V104" s="14">
        <v>2</v>
      </c>
      <c r="W104" s="14">
        <v>3</v>
      </c>
      <c r="X104" s="14">
        <v>-2</v>
      </c>
      <c r="Y104" s="14">
        <v>2</v>
      </c>
      <c r="Z104" s="14">
        <v>-2</v>
      </c>
      <c r="AA104" s="14">
        <v>4</v>
      </c>
      <c r="AZ104" s="7"/>
      <c r="BA104" s="7"/>
      <c r="BC104">
        <f>SUM(BC98:BC103)</f>
        <v>248899.47999700421</v>
      </c>
      <c r="BE104">
        <f>SUM(BE98:BE103)</f>
        <v>40148661.095705122</v>
      </c>
      <c r="BG104">
        <f t="shared" ref="BG104" si="91">SUM(BG98:BG103)</f>
        <v>4.7747127194332961</v>
      </c>
      <c r="BI104">
        <f t="shared" ref="BI104" si="92">SUM(BI98:BI103)</f>
        <v>604492.33590973844</v>
      </c>
      <c r="BK104">
        <f t="shared" ref="BK104" si="93">SUM(BK98:BK103)</f>
        <v>6.1835799091947115</v>
      </c>
      <c r="BM104">
        <f t="shared" ref="BM104" si="94">SUM(BM98:BM103)</f>
        <v>172370001942.21704</v>
      </c>
    </row>
    <row r="105" spans="8:66">
      <c r="O105" s="33">
        <v>0</v>
      </c>
      <c r="P105" s="33">
        <v>0</v>
      </c>
      <c r="Q105" s="33">
        <v>0</v>
      </c>
      <c r="R105" s="12">
        <v>0</v>
      </c>
      <c r="S105" s="12">
        <v>1</v>
      </c>
      <c r="T105" s="11" t="s">
        <v>3</v>
      </c>
      <c r="U105" s="7"/>
      <c r="V105" s="15">
        <v>-1</v>
      </c>
      <c r="W105" s="15">
        <v>0</v>
      </c>
      <c r="X105" s="15">
        <v>-1</v>
      </c>
      <c r="Y105" s="15">
        <v>-1</v>
      </c>
      <c r="Z105" s="15">
        <v>-1</v>
      </c>
      <c r="AA105" s="15">
        <v>-3</v>
      </c>
      <c r="AL105" s="11" t="s">
        <v>37</v>
      </c>
      <c r="AM105" s="11"/>
      <c r="AN105" s="11"/>
      <c r="AO105" s="7"/>
      <c r="AP105" s="11"/>
      <c r="AQ105" s="11"/>
      <c r="AS105" s="11" t="s">
        <v>8</v>
      </c>
      <c r="AT105" s="11" t="s">
        <v>1</v>
      </c>
      <c r="AU105" s="11" t="s">
        <v>1</v>
      </c>
      <c r="AV105" s="11" t="s">
        <v>1</v>
      </c>
      <c r="AW105" s="11" t="s">
        <v>1</v>
      </c>
      <c r="AX105" s="11" t="s">
        <v>1</v>
      </c>
      <c r="AY105" s="11" t="s">
        <v>1</v>
      </c>
      <c r="AZ105" s="7"/>
      <c r="BA105" s="7"/>
    </row>
    <row r="106" spans="8:66">
      <c r="R106" s="7"/>
      <c r="S106" s="7"/>
      <c r="T106" s="7"/>
      <c r="U106" s="7"/>
      <c r="AG106" s="11"/>
      <c r="AH106" s="11"/>
      <c r="AI106" s="11"/>
      <c r="AJ106" s="11"/>
      <c r="AK106" s="11"/>
      <c r="AL106" s="13">
        <f>V102</f>
        <v>2</v>
      </c>
      <c r="AM106" s="13">
        <f t="shared" ref="AM106:AM109" si="95">W102</f>
        <v>3</v>
      </c>
      <c r="AN106" s="13">
        <f t="shared" ref="AN106:AN109" si="96">X102</f>
        <v>-2</v>
      </c>
      <c r="AO106" s="13">
        <f t="shared" ref="AO106:AO109" si="97">Y102</f>
        <v>2</v>
      </c>
      <c r="AP106" s="13">
        <f t="shared" ref="AP106:AP109" si="98">Z102</f>
        <v>-2</v>
      </c>
      <c r="AQ106" s="13">
        <f t="shared" ref="AQ106:AQ109" si="99">AA102</f>
        <v>4</v>
      </c>
      <c r="AS106" s="11" t="s">
        <v>3</v>
      </c>
      <c r="AT106" s="56" cm="1">
        <f t="array" ref="AT106:AY109">MMULT(AL106:AQ109,AT98:AY103)</f>
        <v>2.1317343697922317</v>
      </c>
      <c r="AU106" s="56">
        <v>2.9950051302883094</v>
      </c>
      <c r="AV106" s="56">
        <v>1.7407228537098709</v>
      </c>
      <c r="AW106" s="56">
        <v>2.7755665388319448</v>
      </c>
      <c r="AX106" s="56">
        <v>-1.1279042901697962</v>
      </c>
      <c r="AY106" s="56">
        <v>3.999979114421166</v>
      </c>
      <c r="AZ106" s="7"/>
      <c r="BA106" s="7"/>
    </row>
    <row r="107" spans="8:66">
      <c r="H107" s="7"/>
      <c r="I107" s="7"/>
      <c r="R107" s="7"/>
      <c r="AG107" s="11"/>
      <c r="AH107" s="11"/>
      <c r="AI107" s="11"/>
      <c r="AJ107" s="7"/>
      <c r="AK107" s="7"/>
      <c r="AL107" s="13">
        <f t="shared" ref="AL107:AL109" si="100">V103</f>
        <v>1</v>
      </c>
      <c r="AM107" s="13">
        <f t="shared" si="95"/>
        <v>3</v>
      </c>
      <c r="AN107" s="13">
        <f t="shared" si="96"/>
        <v>-3</v>
      </c>
      <c r="AO107" s="13">
        <f t="shared" si="97"/>
        <v>1</v>
      </c>
      <c r="AP107" s="13">
        <f t="shared" si="98"/>
        <v>-3</v>
      </c>
      <c r="AQ107" s="13">
        <f t="shared" si="99"/>
        <v>1</v>
      </c>
      <c r="AS107" s="11" t="s">
        <v>3</v>
      </c>
      <c r="AT107" s="56">
        <v>1.2634690365690613</v>
      </c>
      <c r="AU107" s="56">
        <v>2.989080283809245</v>
      </c>
      <c r="AV107" s="56">
        <v>0.69435780067176323</v>
      </c>
      <c r="AW107" s="56">
        <v>2.4625769069647974</v>
      </c>
      <c r="AX107" s="56">
        <v>-2.1198349319112166</v>
      </c>
      <c r="AY107" s="56">
        <v>1.0000001082982941</v>
      </c>
      <c r="AZ107" s="7"/>
      <c r="BA107" s="7"/>
    </row>
    <row r="108" spans="8:66">
      <c r="H108" s="7"/>
      <c r="I108" s="7"/>
      <c r="R108" s="7"/>
      <c r="AG108" s="11"/>
      <c r="AH108" s="7"/>
      <c r="AI108" s="7"/>
      <c r="AJ108" s="7"/>
      <c r="AK108" s="7"/>
      <c r="AL108" s="13">
        <f t="shared" si="100"/>
        <v>2</v>
      </c>
      <c r="AM108" s="13">
        <f t="shared" si="95"/>
        <v>3</v>
      </c>
      <c r="AN108" s="13">
        <f t="shared" si="96"/>
        <v>-2</v>
      </c>
      <c r="AO108" s="13">
        <f t="shared" si="97"/>
        <v>2</v>
      </c>
      <c r="AP108" s="13">
        <f t="shared" si="98"/>
        <v>-2</v>
      </c>
      <c r="AQ108" s="13">
        <f t="shared" si="99"/>
        <v>4</v>
      </c>
      <c r="AS108" s="11" t="s">
        <v>3</v>
      </c>
      <c r="AT108" s="56">
        <v>2.1317343697922317</v>
      </c>
      <c r="AU108" s="56">
        <v>2.9950051302883094</v>
      </c>
      <c r="AV108" s="56">
        <v>1.7407228537098709</v>
      </c>
      <c r="AW108" s="56">
        <v>2.7755665388319448</v>
      </c>
      <c r="AX108" s="56">
        <v>-1.1279042901697962</v>
      </c>
      <c r="AY108" s="56">
        <v>3.999979114421166</v>
      </c>
      <c r="AZ108" s="7"/>
      <c r="BA108" s="7"/>
    </row>
    <row r="109" spans="8:66">
      <c r="H109" s="7"/>
      <c r="I109" s="7"/>
      <c r="K109" s="7"/>
      <c r="R109" s="7"/>
      <c r="S109" s="7"/>
      <c r="T109" s="7"/>
      <c r="U109" s="7"/>
      <c r="AG109" s="11"/>
      <c r="AH109" s="7"/>
      <c r="AI109" s="7"/>
      <c r="AJ109" s="7"/>
      <c r="AK109" s="7"/>
      <c r="AL109" s="55">
        <f t="shared" si="100"/>
        <v>-1</v>
      </c>
      <c r="AM109" s="55">
        <f t="shared" si="95"/>
        <v>0</v>
      </c>
      <c r="AN109" s="55">
        <f t="shared" si="96"/>
        <v>-1</v>
      </c>
      <c r="AO109" s="55">
        <f t="shared" si="97"/>
        <v>-1</v>
      </c>
      <c r="AP109" s="55">
        <f t="shared" si="98"/>
        <v>-1</v>
      </c>
      <c r="AQ109" s="55">
        <f t="shared" si="99"/>
        <v>-3</v>
      </c>
      <c r="AR109" s="7"/>
      <c r="AS109" s="11" t="s">
        <v>3</v>
      </c>
      <c r="AT109" s="56">
        <v>-0.86826533322317045</v>
      </c>
      <c r="AU109" s="56">
        <v>-5.924846479065082E-3</v>
      </c>
      <c r="AV109" s="56">
        <v>-1.0463650530381077</v>
      </c>
      <c r="AW109" s="56">
        <v>-0.31298963186714784</v>
      </c>
      <c r="AX109" s="56">
        <v>-0.99193064174142054</v>
      </c>
      <c r="AY109" s="56">
        <v>-2.9999790061228722</v>
      </c>
      <c r="AZ109" s="7"/>
      <c r="BA109" s="7"/>
    </row>
    <row r="110" spans="8:66">
      <c r="H110" s="7"/>
      <c r="I110" s="7"/>
      <c r="K110" s="7"/>
      <c r="R110" s="7"/>
      <c r="S110" s="7"/>
      <c r="T110" s="7"/>
      <c r="U110" s="7"/>
    </row>
    <row r="111" spans="8:66">
      <c r="H111" s="7"/>
      <c r="I111" s="7"/>
      <c r="K111" s="7"/>
      <c r="R111" s="7"/>
      <c r="S111" s="7"/>
      <c r="T111" s="7"/>
      <c r="U111" s="7"/>
      <c r="AD111" s="11"/>
      <c r="AE111" s="7"/>
      <c r="AF111" s="7"/>
      <c r="AG111" s="7"/>
      <c r="AH111" s="7"/>
      <c r="AI111" s="11"/>
      <c r="AJ111" s="11"/>
      <c r="AK111" s="11"/>
      <c r="AL111" s="11"/>
      <c r="AM111" s="11"/>
      <c r="AN111" s="11"/>
    </row>
    <row r="112" spans="8:66"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10:27">
      <c r="T113" s="7" t="s">
        <v>9</v>
      </c>
      <c r="U113" s="7"/>
      <c r="V113" s="11" t="s">
        <v>8</v>
      </c>
      <c r="W113" s="7"/>
      <c r="X113" s="7"/>
      <c r="Y113" s="7"/>
      <c r="Z113" s="7"/>
      <c r="AA113" s="7"/>
    </row>
    <row r="114" spans="10:27">
      <c r="T114" s="7">
        <v>1</v>
      </c>
      <c r="U114" s="7"/>
      <c r="V114" s="60">
        <f>AT58</f>
        <v>4.2630145975733367</v>
      </c>
      <c r="W114" s="61">
        <f t="shared" ref="W114:AA114" si="101">AU58</f>
        <v>5.8680660463919807</v>
      </c>
      <c r="X114" s="61">
        <f t="shared" si="101"/>
        <v>5.5688652541350852</v>
      </c>
      <c r="Y114" s="61">
        <f t="shared" si="101"/>
        <v>5.4954285131363907</v>
      </c>
      <c r="Z114" s="61">
        <f t="shared" si="101"/>
        <v>1.1386569666664883</v>
      </c>
      <c r="AA114" s="62">
        <f t="shared" si="101"/>
        <v>-3.2727295807064398</v>
      </c>
    </row>
    <row r="115" spans="10:27">
      <c r="T115" s="7"/>
      <c r="U115" s="7"/>
      <c r="V115" s="63">
        <f t="shared" ref="V115:V117" si="102">AT59</f>
        <v>-0.86827256016769394</v>
      </c>
      <c r="W115" s="58">
        <f t="shared" ref="W115:W117" si="103">AU59</f>
        <v>-3.3987170384430228E-2</v>
      </c>
      <c r="X115" s="58">
        <f t="shared" ref="X115:X117" si="104">AV59</f>
        <v>-1.2582701026382492</v>
      </c>
      <c r="Y115" s="58">
        <f t="shared" ref="Y115:Y117" si="105">AW59</f>
        <v>-0.25227250028127723</v>
      </c>
      <c r="Z115" s="58">
        <f t="shared" ref="Z115:Z117" si="106">AX59</f>
        <v>-1.079987243992147</v>
      </c>
      <c r="AA115" s="64">
        <f t="shared" ref="AA115:AA117" si="107">AY59</f>
        <v>-1.0143485499329525</v>
      </c>
    </row>
    <row r="116" spans="10:27">
      <c r="T116" s="7"/>
      <c r="U116" s="7"/>
      <c r="V116" s="63">
        <f t="shared" si="102"/>
        <v>2.1315072987866683</v>
      </c>
      <c r="W116" s="58">
        <f t="shared" si="103"/>
        <v>2.9340330231959904</v>
      </c>
      <c r="X116" s="58">
        <f t="shared" si="104"/>
        <v>2.7844326270675426</v>
      </c>
      <c r="Y116" s="58">
        <f t="shared" si="105"/>
        <v>2.7477142565681953</v>
      </c>
      <c r="Z116" s="58">
        <f t="shared" si="106"/>
        <v>0.56932848333324415</v>
      </c>
      <c r="AA116" s="64">
        <f t="shared" si="107"/>
        <v>-1.6363647903532199</v>
      </c>
    </row>
    <row r="117" spans="10:27">
      <c r="T117" s="7"/>
      <c r="U117" s="7"/>
      <c r="V117" s="65">
        <f t="shared" si="102"/>
        <v>2.9997798589543616</v>
      </c>
      <c r="W117" s="66">
        <f t="shared" si="103"/>
        <v>2.9680201935804207</v>
      </c>
      <c r="X117" s="66">
        <f t="shared" si="104"/>
        <v>4.042702729705792</v>
      </c>
      <c r="Y117" s="66">
        <f t="shared" si="105"/>
        <v>2.9999867568494722</v>
      </c>
      <c r="Z117" s="66">
        <f t="shared" si="106"/>
        <v>1.6493157273253913</v>
      </c>
      <c r="AA117" s="67">
        <f t="shared" si="107"/>
        <v>-0.62201624042026749</v>
      </c>
    </row>
    <row r="118" spans="10:27">
      <c r="K118" s="7"/>
      <c r="L118" s="7"/>
      <c r="M118" s="7"/>
      <c r="N118" s="7"/>
      <c r="O118" s="7"/>
      <c r="P118" s="7"/>
      <c r="Q118" s="7"/>
      <c r="R118" s="7"/>
      <c r="S118" s="7"/>
      <c r="T118" s="7">
        <v>2</v>
      </c>
      <c r="U118" s="7"/>
      <c r="V118" s="68">
        <f>AT82</f>
        <v>2.9989017148601369</v>
      </c>
      <c r="W118" s="69">
        <f t="shared" ref="W118:AA118" si="108">AU82</f>
        <v>2.9999999987242001</v>
      </c>
      <c r="X118" s="69">
        <f t="shared" si="108"/>
        <v>-2.018318415714873</v>
      </c>
      <c r="Y118" s="69">
        <f t="shared" si="108"/>
        <v>2.999943795728973</v>
      </c>
      <c r="Z118" s="69">
        <f t="shared" si="108"/>
        <v>-3.7942237208962837</v>
      </c>
      <c r="AA118" s="70">
        <f t="shared" si="108"/>
        <v>2.9997610008639737</v>
      </c>
    </row>
    <row r="119" spans="10:27"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1">
        <f t="shared" ref="V119:V121" si="109">AT83</f>
        <v>2.9992678098617027</v>
      </c>
      <c r="W119" s="59">
        <f t="shared" ref="W119:W121" si="110">AU83</f>
        <v>2.9999999991494666</v>
      </c>
      <c r="X119" s="59">
        <f t="shared" ref="X119:X121" si="111">AV83</f>
        <v>-1.1323982307049536</v>
      </c>
      <c r="Y119" s="59">
        <f t="shared" ref="Y119:Y121" si="112">AW83</f>
        <v>2.9999625304807553</v>
      </c>
      <c r="Z119" s="59">
        <f t="shared" ref="Z119:Z121" si="113">AX83</f>
        <v>-2.7692536931564828</v>
      </c>
      <c r="AA119" s="72">
        <f t="shared" ref="AA119:AA121" si="114">AY83</f>
        <v>2.9998406733927081</v>
      </c>
    </row>
    <row r="120" spans="10:27"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1">
        <f t="shared" si="109"/>
        <v>-3.6609500156551658E-4</v>
      </c>
      <c r="W120" s="59">
        <f t="shared" si="110"/>
        <v>-4.2526651985130123E-10</v>
      </c>
      <c r="X120" s="59">
        <f t="shared" si="111"/>
        <v>-0.88592018500991943</v>
      </c>
      <c r="Y120" s="59">
        <f t="shared" si="112"/>
        <v>-1.8734751782936058E-5</v>
      </c>
      <c r="Z120" s="59">
        <f t="shared" si="113"/>
        <v>-1.0249700277398008</v>
      </c>
      <c r="AA120" s="72">
        <f t="shared" si="114"/>
        <v>-7.9672528734063807E-5</v>
      </c>
    </row>
    <row r="121" spans="10:27"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3">
        <f t="shared" si="109"/>
        <v>-3.6609500156551658E-4</v>
      </c>
      <c r="W121" s="74">
        <f t="shared" si="110"/>
        <v>-4.2526651985130123E-10</v>
      </c>
      <c r="X121" s="74">
        <f t="shared" si="111"/>
        <v>-0.88592018500991943</v>
      </c>
      <c r="Y121" s="74">
        <f t="shared" si="112"/>
        <v>-1.8734751782936058E-5</v>
      </c>
      <c r="Z121" s="74">
        <f t="shared" si="113"/>
        <v>-1.0249700277398008</v>
      </c>
      <c r="AA121" s="75">
        <f t="shared" si="114"/>
        <v>-7.9672528734063807E-5</v>
      </c>
    </row>
    <row r="122" spans="10:27">
      <c r="J122" s="7"/>
      <c r="K122" s="7"/>
      <c r="L122" s="7"/>
      <c r="M122" s="7"/>
      <c r="N122" s="7"/>
      <c r="O122" s="7"/>
      <c r="P122" s="7"/>
      <c r="Q122" s="7"/>
      <c r="R122" s="7"/>
      <c r="S122" s="7"/>
      <c r="T122">
        <v>3</v>
      </c>
      <c r="V122" s="68">
        <f>AT106</f>
        <v>2.1317343697922317</v>
      </c>
      <c r="W122" s="69">
        <f t="shared" ref="W122:AA122" si="115">AU106</f>
        <v>2.9950051302883094</v>
      </c>
      <c r="X122" s="69">
        <f t="shared" si="115"/>
        <v>1.7407228537098709</v>
      </c>
      <c r="Y122" s="69">
        <f t="shared" si="115"/>
        <v>2.7755665388319448</v>
      </c>
      <c r="Z122" s="69">
        <f t="shared" si="115"/>
        <v>-1.1279042901697962</v>
      </c>
      <c r="AA122" s="70">
        <f t="shared" si="115"/>
        <v>3.999979114421166</v>
      </c>
    </row>
    <row r="123" spans="10:27">
      <c r="J123" s="7"/>
      <c r="K123" s="7"/>
      <c r="L123" s="7"/>
      <c r="M123" s="7"/>
      <c r="N123" s="7"/>
      <c r="O123" s="7"/>
      <c r="P123" s="7"/>
      <c r="Q123" s="7"/>
      <c r="R123" s="7"/>
      <c r="S123" s="7"/>
      <c r="V123" s="71">
        <f t="shared" ref="V123:V125" si="116">AT107</f>
        <v>1.2634690365690613</v>
      </c>
      <c r="W123" s="59">
        <f t="shared" ref="W123:W125" si="117">AU107</f>
        <v>2.989080283809245</v>
      </c>
      <c r="X123" s="59">
        <f t="shared" ref="X123:X125" si="118">AV107</f>
        <v>0.69435780067176323</v>
      </c>
      <c r="Y123" s="59">
        <f t="shared" ref="Y123:Y125" si="119">AW107</f>
        <v>2.4625769069647974</v>
      </c>
      <c r="Z123" s="59">
        <f t="shared" ref="Z123:Z125" si="120">AX107</f>
        <v>-2.1198349319112166</v>
      </c>
      <c r="AA123" s="72">
        <f t="shared" ref="AA123:AA125" si="121">AY107</f>
        <v>1.0000001082982941</v>
      </c>
    </row>
    <row r="124" spans="10:27">
      <c r="J124" s="7"/>
      <c r="K124" s="7"/>
      <c r="L124" s="7"/>
      <c r="M124" s="7"/>
      <c r="N124" s="7"/>
      <c r="O124" s="7"/>
      <c r="P124" s="7"/>
      <c r="Q124" s="7"/>
      <c r="R124" s="7"/>
      <c r="S124" s="7"/>
      <c r="V124" s="71">
        <f t="shared" si="116"/>
        <v>2.1317343697922317</v>
      </c>
      <c r="W124" s="59">
        <f t="shared" si="117"/>
        <v>2.9950051302883094</v>
      </c>
      <c r="X124" s="59">
        <f t="shared" si="118"/>
        <v>1.7407228537098709</v>
      </c>
      <c r="Y124" s="59">
        <f t="shared" si="119"/>
        <v>2.7755665388319448</v>
      </c>
      <c r="Z124" s="59">
        <f t="shared" si="120"/>
        <v>-1.1279042901697962</v>
      </c>
      <c r="AA124" s="72">
        <f t="shared" si="121"/>
        <v>3.999979114421166</v>
      </c>
    </row>
    <row r="125" spans="10:27">
      <c r="J125" s="7"/>
      <c r="K125" s="7"/>
      <c r="L125" s="7"/>
      <c r="M125" s="7"/>
      <c r="N125" s="7"/>
      <c r="O125" s="7"/>
      <c r="P125" s="7"/>
      <c r="Q125" s="7"/>
      <c r="R125" s="7"/>
      <c r="S125" s="7"/>
      <c r="V125" s="73">
        <f t="shared" si="116"/>
        <v>-0.86826533322317045</v>
      </c>
      <c r="W125" s="74">
        <f t="shared" si="117"/>
        <v>-5.924846479065082E-3</v>
      </c>
      <c r="X125" s="74">
        <f t="shared" si="118"/>
        <v>-1.0463650530381077</v>
      </c>
      <c r="Y125" s="74">
        <f t="shared" si="119"/>
        <v>-0.31298963186714784</v>
      </c>
      <c r="Z125" s="74">
        <f t="shared" si="120"/>
        <v>-0.99193064174142054</v>
      </c>
      <c r="AA125" s="75">
        <f t="shared" si="121"/>
        <v>-2.9999790061228722</v>
      </c>
    </row>
    <row r="126" spans="10:27"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spans="10:27"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spans="10:27">
      <c r="J128" s="7"/>
      <c r="L128" s="16"/>
      <c r="M128" s="7"/>
      <c r="N128" s="7"/>
      <c r="O128" s="7"/>
      <c r="P128" s="7"/>
      <c r="Q128" s="7" t="s">
        <v>10</v>
      </c>
      <c r="R128" s="7"/>
      <c r="S128" s="7"/>
      <c r="T128" s="7"/>
      <c r="U128" s="7"/>
      <c r="V128" s="11" t="s">
        <v>1</v>
      </c>
      <c r="W128" s="11" t="s">
        <v>1</v>
      </c>
      <c r="X128" s="11" t="s">
        <v>1</v>
      </c>
      <c r="Y128" s="11" t="s">
        <v>1</v>
      </c>
      <c r="Z128" s="11" t="s">
        <v>1</v>
      </c>
      <c r="AA128" s="11" t="s">
        <v>1</v>
      </c>
    </row>
    <row r="129" spans="6:35">
      <c r="F129" s="12">
        <v>0</v>
      </c>
      <c r="G129" s="12">
        <v>1</v>
      </c>
      <c r="H129" s="12">
        <v>0</v>
      </c>
      <c r="I129" s="12">
        <v>1</v>
      </c>
      <c r="J129" s="12">
        <v>0</v>
      </c>
      <c r="K129" s="12">
        <v>1</v>
      </c>
      <c r="L129" s="12">
        <v>0</v>
      </c>
      <c r="M129" s="12">
        <v>0</v>
      </c>
      <c r="N129" s="12">
        <v>1</v>
      </c>
      <c r="O129" s="12">
        <v>-1</v>
      </c>
      <c r="P129" s="12">
        <v>-1</v>
      </c>
      <c r="Q129" s="12">
        <v>-1</v>
      </c>
      <c r="R129" s="11" t="s">
        <v>3</v>
      </c>
      <c r="S129" s="7"/>
      <c r="T129" s="7" t="s">
        <v>11</v>
      </c>
      <c r="U129" s="7"/>
      <c r="V129" s="76" cm="1">
        <f t="array" ref="V129:AA133">MMULT(F129:Q133,V114:AA125)</f>
        <v>4.7355714053024798</v>
      </c>
      <c r="W129" s="76">
        <v>2.950877585015276</v>
      </c>
      <c r="X129" s="76">
        <v>2.0040416487289336</v>
      </c>
      <c r="Y129" s="76">
        <v>3.5980895119513008</v>
      </c>
      <c r="Z129" s="76">
        <v>0.91184036382939893</v>
      </c>
      <c r="AA129" s="76">
        <v>3.3634547808640658</v>
      </c>
      <c r="AI129" t="s">
        <v>69</v>
      </c>
    </row>
    <row r="130" spans="6:35">
      <c r="F130" s="12">
        <v>1</v>
      </c>
      <c r="G130" s="12">
        <v>0</v>
      </c>
      <c r="H130" s="12">
        <v>1</v>
      </c>
      <c r="I130" s="12">
        <v>0</v>
      </c>
      <c r="J130" s="12">
        <v>1</v>
      </c>
      <c r="K130" s="12">
        <v>1</v>
      </c>
      <c r="L130" s="12">
        <v>0</v>
      </c>
      <c r="M130" s="12">
        <v>1</v>
      </c>
      <c r="N130" s="12">
        <v>1</v>
      </c>
      <c r="O130" s="12">
        <v>1</v>
      </c>
      <c r="P130" s="12">
        <v>1</v>
      </c>
      <c r="Q130" s="12">
        <v>1</v>
      </c>
      <c r="R130" s="11" t="s">
        <v>3</v>
      </c>
      <c r="S130" s="7"/>
      <c r="T130" s="7"/>
      <c r="U130" s="7"/>
      <c r="V130" s="77">
        <v>17.050997769010632</v>
      </c>
      <c r="W130" s="77">
        <v>23.775264764943167</v>
      </c>
      <c r="X130" s="77">
        <v>7.4460995048262797</v>
      </c>
      <c r="Y130" s="77">
        <v>21.943750713924075</v>
      </c>
      <c r="Z130" s="77">
        <v>-11.248036145785065</v>
      </c>
      <c r="AA130" s="77">
        <v>7.0904069616860408</v>
      </c>
      <c r="AI130">
        <v>5172</v>
      </c>
    </row>
    <row r="131" spans="6:35">
      <c r="F131" s="12">
        <v>1</v>
      </c>
      <c r="G131" s="12">
        <v>0</v>
      </c>
      <c r="H131" s="12">
        <v>1</v>
      </c>
      <c r="I131" s="12">
        <v>0</v>
      </c>
      <c r="J131" s="12">
        <v>0</v>
      </c>
      <c r="K131" s="12">
        <v>-1</v>
      </c>
      <c r="L131" s="12">
        <v>1</v>
      </c>
      <c r="M131" s="12">
        <v>0</v>
      </c>
      <c r="N131" s="12">
        <v>0</v>
      </c>
      <c r="O131" s="12">
        <v>1</v>
      </c>
      <c r="P131" s="12">
        <v>0</v>
      </c>
      <c r="Q131" s="12">
        <v>0</v>
      </c>
      <c r="R131" s="11" t="s">
        <v>3</v>
      </c>
      <c r="S131" s="7"/>
      <c r="T131" s="7"/>
      <c r="U131" s="7"/>
      <c r="V131" s="77">
        <v>4.6583570280657982</v>
      </c>
      <c r="W131" s="77">
        <v>8.7911793538224821</v>
      </c>
      <c r="X131" s="77">
        <v>9.2941337275694274</v>
      </c>
      <c r="Y131" s="77">
        <v>7.7057384114368457</v>
      </c>
      <c r="Z131" s="77">
        <v>1.3324341835051974</v>
      </c>
      <c r="AA131" s="77">
        <v>-6.909014608682809</v>
      </c>
    </row>
    <row r="132" spans="6:35">
      <c r="F132" s="12">
        <v>1</v>
      </c>
      <c r="G132" s="12">
        <v>1</v>
      </c>
      <c r="H132" s="12">
        <v>1</v>
      </c>
      <c r="I132" s="12">
        <v>1</v>
      </c>
      <c r="J132" s="12">
        <v>0</v>
      </c>
      <c r="K132" s="12">
        <v>0</v>
      </c>
      <c r="L132" s="12">
        <v>0</v>
      </c>
      <c r="M132" s="12">
        <v>0</v>
      </c>
      <c r="N132" s="12">
        <v>-1</v>
      </c>
      <c r="O132" s="12">
        <v>1</v>
      </c>
      <c r="P132" s="12">
        <v>0</v>
      </c>
      <c r="Q132" s="12">
        <v>0</v>
      </c>
      <c r="R132" s="11" t="s">
        <v>3</v>
      </c>
      <c r="S132" s="7"/>
      <c r="T132" s="7"/>
      <c r="U132" s="7"/>
      <c r="V132" s="77">
        <v>7.6577638619235024</v>
      </c>
      <c r="W132" s="77">
        <v>11.730207246304897</v>
      </c>
      <c r="X132" s="77">
        <v>10.091365455232063</v>
      </c>
      <c r="Y132" s="77">
        <v>10.677867394405633</v>
      </c>
      <c r="Z132" s="77">
        <v>1.2853832915915562</v>
      </c>
      <c r="AA132" s="77">
        <v>-9.5454381675357496</v>
      </c>
    </row>
    <row r="133" spans="6:35">
      <c r="F133" s="12">
        <v>-1</v>
      </c>
      <c r="G133" s="12">
        <v>0</v>
      </c>
      <c r="H133" s="12">
        <v>-1</v>
      </c>
      <c r="I133" s="12">
        <v>0</v>
      </c>
      <c r="J133" s="12">
        <v>1</v>
      </c>
      <c r="K133" s="12">
        <v>1</v>
      </c>
      <c r="L133" s="12">
        <v>1</v>
      </c>
      <c r="M133" s="12">
        <v>0</v>
      </c>
      <c r="N133" s="12">
        <v>0</v>
      </c>
      <c r="O133" s="12">
        <v>-1</v>
      </c>
      <c r="P133" s="12">
        <v>1</v>
      </c>
      <c r="Q133" s="12">
        <v>0</v>
      </c>
      <c r="R133" s="11" t="s">
        <v>3</v>
      </c>
      <c r="S133" s="7"/>
      <c r="T133" s="7"/>
      <c r="U133" s="7"/>
      <c r="V133" s="78">
        <v>0.47154686658343947</v>
      </c>
      <c r="W133" s="78">
        <v>-2.7961742256605064</v>
      </c>
      <c r="X133" s="78">
        <v>-11.343569659594268</v>
      </c>
      <c r="Y133" s="78">
        <v>-1.930265546379494</v>
      </c>
      <c r="Z133" s="78">
        <v>-8.3045022500508789</v>
      </c>
      <c r="AA133" s="78">
        <v>13.908595378910478</v>
      </c>
    </row>
    <row r="134" spans="6:35"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6:35"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6:35">
      <c r="L136" s="7"/>
      <c r="M136" s="7"/>
      <c r="N136" s="7"/>
      <c r="O136" s="7"/>
      <c r="P136" s="7"/>
      <c r="Q136" s="7"/>
      <c r="R136" s="7"/>
      <c r="S136" s="7"/>
    </row>
    <row r="137" spans="6:35">
      <c r="S137" s="7"/>
      <c r="T137" s="7"/>
      <c r="U137" s="7" t="s">
        <v>31</v>
      </c>
      <c r="V137" s="11">
        <v>1</v>
      </c>
      <c r="W137" s="11">
        <v>2</v>
      </c>
      <c r="X137" s="11">
        <v>3</v>
      </c>
      <c r="Y137" s="11">
        <v>4</v>
      </c>
      <c r="Z137" s="11">
        <v>5</v>
      </c>
      <c r="AA137" s="11">
        <v>6</v>
      </c>
    </row>
    <row r="138" spans="6:35">
      <c r="S138" s="7"/>
      <c r="T138" s="7"/>
      <c r="U138" s="7"/>
      <c r="V138" s="81">
        <f>V129</f>
        <v>4.7355714053024798</v>
      </c>
      <c r="W138" s="81">
        <f t="shared" ref="W138:AA138" si="122">W129</f>
        <v>2.950877585015276</v>
      </c>
      <c r="X138" s="81">
        <f t="shared" si="122"/>
        <v>2.0040416487289336</v>
      </c>
      <c r="Y138" s="81">
        <f t="shared" si="122"/>
        <v>3.5980895119513008</v>
      </c>
      <c r="Z138" s="81">
        <f t="shared" si="122"/>
        <v>0.91184036382939893</v>
      </c>
      <c r="AA138" s="81">
        <f t="shared" si="122"/>
        <v>3.3634547808640658</v>
      </c>
    </row>
    <row r="139" spans="6:35">
      <c r="S139" s="7"/>
      <c r="T139" s="7"/>
      <c r="U139" s="7"/>
      <c r="V139" s="82">
        <f t="shared" ref="V139:AA139" si="123">V130</f>
        <v>17.050997769010632</v>
      </c>
      <c r="W139" s="82">
        <f t="shared" si="123"/>
        <v>23.775264764943167</v>
      </c>
      <c r="X139" s="82">
        <f t="shared" si="123"/>
        <v>7.4460995048262797</v>
      </c>
      <c r="Y139" s="82">
        <f t="shared" si="123"/>
        <v>21.943750713924075</v>
      </c>
      <c r="Z139" s="82">
        <f t="shared" si="123"/>
        <v>-11.248036145785065</v>
      </c>
      <c r="AA139" s="82">
        <f t="shared" si="123"/>
        <v>7.0904069616860408</v>
      </c>
    </row>
    <row r="140" spans="6:35">
      <c r="S140" s="7"/>
      <c r="T140" s="7"/>
      <c r="U140" s="7"/>
      <c r="V140" s="82">
        <f t="shared" ref="V140:AA140" si="124">V131</f>
        <v>4.6583570280657982</v>
      </c>
      <c r="W140" s="82">
        <f t="shared" si="124"/>
        <v>8.7911793538224821</v>
      </c>
      <c r="X140" s="82">
        <f t="shared" si="124"/>
        <v>9.2941337275694274</v>
      </c>
      <c r="Y140" s="82">
        <f t="shared" si="124"/>
        <v>7.7057384114368457</v>
      </c>
      <c r="Z140" s="82">
        <f t="shared" si="124"/>
        <v>1.3324341835051974</v>
      </c>
      <c r="AA140" s="82">
        <f t="shared" si="124"/>
        <v>-6.909014608682809</v>
      </c>
    </row>
    <row r="141" spans="6:35">
      <c r="S141" s="7"/>
      <c r="T141" s="7"/>
      <c r="U141" s="7"/>
      <c r="V141" s="82">
        <f t="shared" ref="V141:AA141" si="125">V132</f>
        <v>7.6577638619235024</v>
      </c>
      <c r="W141" s="82">
        <f t="shared" si="125"/>
        <v>11.730207246304897</v>
      </c>
      <c r="X141" s="82">
        <f t="shared" si="125"/>
        <v>10.091365455232063</v>
      </c>
      <c r="Y141" s="82">
        <f t="shared" si="125"/>
        <v>10.677867394405633</v>
      </c>
      <c r="Z141" s="82">
        <f t="shared" si="125"/>
        <v>1.2853832915915562</v>
      </c>
      <c r="AA141" s="82">
        <f t="shared" si="125"/>
        <v>-9.5454381675357496</v>
      </c>
    </row>
    <row r="142" spans="6:35">
      <c r="S142" s="7"/>
      <c r="T142" s="7"/>
      <c r="U142" s="7"/>
      <c r="V142" s="83">
        <f t="shared" ref="V142:AA142" si="126">V133</f>
        <v>0.47154686658343947</v>
      </c>
      <c r="W142" s="83">
        <f t="shared" si="126"/>
        <v>-2.7961742256605064</v>
      </c>
      <c r="X142" s="83">
        <f t="shared" si="126"/>
        <v>-11.343569659594268</v>
      </c>
      <c r="Y142" s="83">
        <f t="shared" si="126"/>
        <v>-1.930265546379494</v>
      </c>
      <c r="Z142" s="83">
        <f t="shared" si="126"/>
        <v>-8.3045022500508789</v>
      </c>
      <c r="AA142" s="83">
        <f t="shared" si="126"/>
        <v>13.908595378910478</v>
      </c>
    </row>
    <row r="143" spans="6:35">
      <c r="S143" s="7"/>
      <c r="T143" s="7"/>
      <c r="U143" s="7"/>
      <c r="V143" s="43">
        <v>1</v>
      </c>
      <c r="W143" s="43">
        <v>1</v>
      </c>
      <c r="X143" s="43">
        <v>1</v>
      </c>
      <c r="Y143" s="43">
        <v>1</v>
      </c>
      <c r="Z143" s="43">
        <v>1</v>
      </c>
      <c r="AA143" s="43">
        <v>1</v>
      </c>
    </row>
    <row r="144" spans="6:35">
      <c r="S144" s="7"/>
      <c r="T144" s="7"/>
      <c r="U144" s="7"/>
      <c r="V144" s="7"/>
      <c r="W144" s="7"/>
      <c r="X144" s="7"/>
      <c r="Y144" s="7"/>
      <c r="Z144" s="7"/>
      <c r="AA144" s="7"/>
    </row>
    <row r="145" spans="12:78">
      <c r="L145" s="7"/>
      <c r="M145" s="7"/>
      <c r="N145" s="7"/>
      <c r="O145" s="7"/>
      <c r="P145" s="7"/>
      <c r="Q145" s="7"/>
      <c r="R145" s="7"/>
      <c r="S145" s="7"/>
      <c r="T145" s="7"/>
      <c r="U145" s="7" t="s">
        <v>83</v>
      </c>
      <c r="V145" s="7"/>
      <c r="W145" s="7"/>
      <c r="X145" s="7"/>
      <c r="Y145" s="7"/>
      <c r="Z145" s="7"/>
      <c r="AA145" s="7"/>
      <c r="AC145" s="28" t="s">
        <v>39</v>
      </c>
      <c r="AS145" s="28" t="s">
        <v>30</v>
      </c>
    </row>
    <row r="146" spans="12:78">
      <c r="M146" s="7"/>
      <c r="N146" s="7"/>
      <c r="U146" t="s">
        <v>84</v>
      </c>
      <c r="AC146" t="s">
        <v>38</v>
      </c>
      <c r="AJ146" t="s">
        <v>40</v>
      </c>
      <c r="AK146" t="s">
        <v>28</v>
      </c>
      <c r="AS146" t="s">
        <v>45</v>
      </c>
    </row>
    <row r="147" spans="12:78">
      <c r="M147" s="41" t="s">
        <v>32</v>
      </c>
      <c r="N147" s="7"/>
      <c r="O147" t="s">
        <v>42</v>
      </c>
      <c r="P147">
        <v>1</v>
      </c>
      <c r="Q147">
        <v>1</v>
      </c>
      <c r="R147">
        <v>1</v>
      </c>
      <c r="S147">
        <v>1</v>
      </c>
      <c r="T147">
        <v>1</v>
      </c>
      <c r="U147" t="s">
        <v>76</v>
      </c>
      <c r="V147" s="47">
        <v>99</v>
      </c>
      <c r="W147" s="47">
        <v>99</v>
      </c>
      <c r="X147" s="47">
        <v>99</v>
      </c>
      <c r="Y147" s="47">
        <v>99</v>
      </c>
      <c r="Z147" s="47">
        <v>99</v>
      </c>
      <c r="AA147" s="47">
        <v>99</v>
      </c>
      <c r="AC147" s="84">
        <v>1</v>
      </c>
      <c r="AD147" s="84">
        <v>1</v>
      </c>
      <c r="AE147" s="84">
        <v>1</v>
      </c>
      <c r="AF147" s="84">
        <v>1</v>
      </c>
      <c r="AG147" s="84">
        <v>1</v>
      </c>
      <c r="AH147" s="84">
        <v>1</v>
      </c>
      <c r="AJ147" s="44">
        <v>1</v>
      </c>
      <c r="AK147" s="47" cm="1">
        <f t="array" ref="AK147:AK150">_xlfn._xlws.SORT(AC147:AC150,,-1)</f>
        <v>1</v>
      </c>
      <c r="AL147" s="47" cm="1">
        <f t="array" ref="AL147:AL150">_xlfn._xlws.SORT(AD147:AD150,,-1)</f>
        <v>1</v>
      </c>
      <c r="AM147" s="47" cm="1">
        <f t="array" ref="AM147:AM150">_xlfn._xlws.SORT(AE147:AE150,,-1)</f>
        <v>1</v>
      </c>
      <c r="AN147" s="47" cm="1">
        <f t="array" ref="AN147:AN150">_xlfn._xlws.SORT(AF147:AF150,,-1)</f>
        <v>1</v>
      </c>
      <c r="AO147" s="47" cm="1">
        <f t="array" ref="AO147:AO150">_xlfn._xlws.SORT(AG147:AG150,,-1)</f>
        <v>1</v>
      </c>
      <c r="AP147" s="47" cm="1">
        <f t="array" ref="AP147:AP150">_xlfn._xlws.SORT(AH147:AH150,,-1)</f>
        <v>1</v>
      </c>
      <c r="AR147" t="s">
        <v>42</v>
      </c>
      <c r="AS147" s="48" cm="1">
        <f t="array" ref="AS147:AX150">IF(AC147:AH150&gt;=AK149:AP149,AC147:AH150,0)</f>
        <v>1</v>
      </c>
      <c r="AT147" s="48">
        <v>1</v>
      </c>
      <c r="AU147" s="48">
        <v>1</v>
      </c>
      <c r="AV147" s="48">
        <v>1</v>
      </c>
      <c r="AW147" s="48">
        <v>1</v>
      </c>
      <c r="AX147" s="48">
        <v>1</v>
      </c>
    </row>
    <row r="148" spans="12:78">
      <c r="M148" s="41" t="s">
        <v>29</v>
      </c>
      <c r="N148" s="7"/>
      <c r="O148" t="s">
        <v>41</v>
      </c>
      <c r="P148" s="42">
        <v>1</v>
      </c>
      <c r="Q148" s="42">
        <v>0.4</v>
      </c>
      <c r="R148" s="42">
        <v>1</v>
      </c>
      <c r="S148" s="42">
        <v>1</v>
      </c>
      <c r="T148" s="42">
        <v>0</v>
      </c>
      <c r="U148" s="42">
        <f>-130</f>
        <v>-130</v>
      </c>
      <c r="V148" s="47" cm="1">
        <f t="array" ref="V148:AA150">MMULT(P148:T150,V138:AA142)</f>
        <v>23.872091402896032</v>
      </c>
      <c r="W148" s="47">
        <v>32.982370091119918</v>
      </c>
      <c r="X148" s="47">
        <v>24.367980633460938</v>
      </c>
      <c r="Y148" s="47">
        <v>30.759195603363409</v>
      </c>
      <c r="Z148" s="47">
        <v>-0.96955661938787374</v>
      </c>
      <c r="AA148" s="47">
        <v>-10.254835210680078</v>
      </c>
      <c r="AC148" s="84" cm="1">
        <f t="array" ref="AC148:AH150">1/(1+EXP(-_xlfn.ANCHORARRAY(V148)))</f>
        <v>0.99999999995709743</v>
      </c>
      <c r="AD148" s="84">
        <v>0.99999999999999534</v>
      </c>
      <c r="AE148" s="84">
        <v>0.99999999997387112</v>
      </c>
      <c r="AF148" s="84">
        <v>0.99999999999995626</v>
      </c>
      <c r="AG148" s="84">
        <v>0.27496888619151405</v>
      </c>
      <c r="AH148" s="84">
        <v>3.5185714457403974E-5</v>
      </c>
      <c r="AJ148">
        <v>2</v>
      </c>
      <c r="AK148" s="47">
        <v>0.99999999995709743</v>
      </c>
      <c r="AL148" s="47">
        <v>0.99999999999999534</v>
      </c>
      <c r="AM148" s="47">
        <v>0.99999999997387112</v>
      </c>
      <c r="AN148" s="47">
        <v>0.99999999999995626</v>
      </c>
      <c r="AO148" s="47">
        <v>0.27496888619151405</v>
      </c>
      <c r="AP148" s="47">
        <v>0.99999908855988395</v>
      </c>
      <c r="AR148" t="s">
        <v>41</v>
      </c>
      <c r="AS148" s="48">
        <v>0.99999999995709743</v>
      </c>
      <c r="AT148" s="48">
        <v>0.99999999999999534</v>
      </c>
      <c r="AU148" s="48">
        <v>0.99999999997387112</v>
      </c>
      <c r="AV148" s="48">
        <v>0.99999999999995626</v>
      </c>
      <c r="AW148" s="48">
        <v>0.27496888619151405</v>
      </c>
      <c r="AX148" s="48">
        <v>0</v>
      </c>
    </row>
    <row r="149" spans="12:78">
      <c r="L149" s="7"/>
      <c r="M149" s="7"/>
      <c r="N149" s="7"/>
      <c r="O149" t="s">
        <v>43</v>
      </c>
      <c r="P149" s="42">
        <v>1</v>
      </c>
      <c r="Q149" s="42">
        <v>0.5</v>
      </c>
      <c r="R149" s="42">
        <v>1</v>
      </c>
      <c r="S149" s="42">
        <v>0</v>
      </c>
      <c r="T149" s="42">
        <v>1</v>
      </c>
      <c r="U149" s="42">
        <v>-60</v>
      </c>
      <c r="V149" s="47">
        <v>18.390974184457033</v>
      </c>
      <c r="W149" s="47">
        <v>20.833515095648835</v>
      </c>
      <c r="X149" s="47">
        <v>3.6776554691172336</v>
      </c>
      <c r="Y149" s="47">
        <v>20.345437733970691</v>
      </c>
      <c r="Z149" s="47">
        <v>-11.684245775608815</v>
      </c>
      <c r="AA149" s="47">
        <v>13.908239031934755</v>
      </c>
      <c r="AC149" s="84">
        <v>0.99999998969847803</v>
      </c>
      <c r="AD149" s="84">
        <v>0.99999999910438908</v>
      </c>
      <c r="AE149" s="84">
        <v>0.97534124678757328</v>
      </c>
      <c r="AF149" s="84">
        <v>0.99999999854088784</v>
      </c>
      <c r="AG149" s="84">
        <v>8.4254455311382493E-6</v>
      </c>
      <c r="AH149" s="84">
        <v>0.99999908855988395</v>
      </c>
      <c r="AJ149" s="85">
        <v>3</v>
      </c>
      <c r="AK149" s="47">
        <v>0.99999998969847803</v>
      </c>
      <c r="AL149" s="47">
        <v>0.99999999910438908</v>
      </c>
      <c r="AM149" s="47">
        <v>0.97534124678757328</v>
      </c>
      <c r="AN149" s="47">
        <v>0.99999999854088784</v>
      </c>
      <c r="AO149" s="47">
        <v>1.7799714071811636E-3</v>
      </c>
      <c r="AP149" s="47">
        <v>0.90263589871815397</v>
      </c>
      <c r="AR149" t="s">
        <v>43</v>
      </c>
      <c r="AS149" s="48">
        <v>0.99999998969847803</v>
      </c>
      <c r="AT149" s="48">
        <v>0.99999999910438908</v>
      </c>
      <c r="AU149" s="48">
        <v>0.97534124678757328</v>
      </c>
      <c r="AV149" s="48">
        <v>0.99999999854088784</v>
      </c>
      <c r="AW149" s="48">
        <v>0</v>
      </c>
      <c r="AX149" s="48">
        <v>0.99999908855988395</v>
      </c>
    </row>
    <row r="150" spans="12:78">
      <c r="L150" s="7"/>
      <c r="M150" s="7"/>
      <c r="N150" s="7"/>
      <c r="O150" t="s">
        <v>44</v>
      </c>
      <c r="P150" s="42">
        <v>0</v>
      </c>
      <c r="Q150" s="42">
        <v>0</v>
      </c>
      <c r="R150" s="42">
        <v>1</v>
      </c>
      <c r="S150" s="42">
        <v>0.5</v>
      </c>
      <c r="T150" s="42">
        <v>1</v>
      </c>
      <c r="U150" s="42">
        <v>-60</v>
      </c>
      <c r="V150" s="47">
        <v>8.95878582561099</v>
      </c>
      <c r="W150" s="47">
        <v>11.860108751314424</v>
      </c>
      <c r="X150" s="47">
        <v>2.9962467955911922</v>
      </c>
      <c r="Y150" s="47">
        <v>11.114406562260168</v>
      </c>
      <c r="Z150" s="47">
        <v>-6.3293764207499033</v>
      </c>
      <c r="AA150" s="47">
        <v>2.2268616864597934</v>
      </c>
      <c r="AC150" s="84">
        <v>0.99987141423182269</v>
      </c>
      <c r="AD150" s="84">
        <v>0.999992933292015</v>
      </c>
      <c r="AE150" s="84">
        <v>0.95240428128315591</v>
      </c>
      <c r="AF150" s="84">
        <v>0.9999851040539367</v>
      </c>
      <c r="AG150" s="84">
        <v>1.7799714071811636E-3</v>
      </c>
      <c r="AH150" s="84">
        <v>0.90263589871815397</v>
      </c>
      <c r="AJ150">
        <v>4</v>
      </c>
      <c r="AK150" s="47">
        <v>0.99987141423182269</v>
      </c>
      <c r="AL150" s="47">
        <v>0.999992933292015</v>
      </c>
      <c r="AM150" s="47">
        <v>0.95240428128315591</v>
      </c>
      <c r="AN150" s="47">
        <v>0.9999851040539367</v>
      </c>
      <c r="AO150" s="47">
        <v>8.4254455311382493E-6</v>
      </c>
      <c r="AP150" s="47">
        <v>3.5185714457403974E-5</v>
      </c>
      <c r="AR150" t="s">
        <v>44</v>
      </c>
      <c r="AS150" s="48">
        <v>0</v>
      </c>
      <c r="AT150" s="48">
        <v>0</v>
      </c>
      <c r="AU150" s="48">
        <v>0</v>
      </c>
      <c r="AV150" s="48">
        <v>0</v>
      </c>
      <c r="AW150" s="48">
        <v>1.7799714071811636E-3</v>
      </c>
      <c r="AX150" s="48">
        <v>0.90263589871815397</v>
      </c>
    </row>
    <row r="151" spans="12:78"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2:78"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2:78" ht="26.25">
      <c r="L153" s="7"/>
      <c r="M153" s="7"/>
      <c r="O153" s="49">
        <v>1</v>
      </c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D153" s="7"/>
      <c r="AE153" s="7"/>
      <c r="AF153" s="49">
        <v>2</v>
      </c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U153" s="7"/>
      <c r="AV153" s="7"/>
      <c r="AW153" s="49">
        <v>3</v>
      </c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49">
        <v>4</v>
      </c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</row>
    <row r="154" spans="12:78">
      <c r="L154" s="7"/>
      <c r="M154" s="7"/>
      <c r="N154" s="7"/>
      <c r="O154" s="7" t="s">
        <v>34</v>
      </c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D154" s="7"/>
      <c r="AE154" s="7"/>
      <c r="AF154" s="7" t="s">
        <v>34</v>
      </c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U154" s="7"/>
      <c r="AV154" s="7"/>
      <c r="AW154" s="7" t="s">
        <v>34</v>
      </c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 t="s">
        <v>34</v>
      </c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</row>
    <row r="155" spans="12:78">
      <c r="L155" s="7"/>
      <c r="M155" s="7"/>
      <c r="N155" s="7"/>
      <c r="O155" t="s">
        <v>35</v>
      </c>
      <c r="P155" s="7"/>
      <c r="Q155" s="7"/>
      <c r="R155" s="7"/>
      <c r="S155" s="7"/>
      <c r="T155" s="7" t="s">
        <v>36</v>
      </c>
      <c r="W155" s="7"/>
      <c r="X155" s="7"/>
      <c r="Y155" s="7"/>
      <c r="Z155" s="7"/>
      <c r="AA155" s="7"/>
      <c r="AD155" s="7"/>
      <c r="AE155" s="7"/>
      <c r="AF155" t="s">
        <v>35</v>
      </c>
      <c r="AG155" s="7"/>
      <c r="AH155" s="7"/>
      <c r="AI155" s="7"/>
      <c r="AJ155" s="7"/>
      <c r="AK155" s="7" t="s">
        <v>36</v>
      </c>
      <c r="AL155" s="7"/>
      <c r="AN155" s="7"/>
      <c r="AO155" s="7"/>
      <c r="AP155" s="7"/>
      <c r="AQ155" s="7"/>
      <c r="AR155" s="7"/>
      <c r="AS155" s="7"/>
      <c r="AU155" s="7"/>
      <c r="AV155" s="7"/>
      <c r="AW155" t="s">
        <v>35</v>
      </c>
      <c r="AX155" s="7"/>
      <c r="AY155" s="7"/>
      <c r="AZ155" s="7"/>
      <c r="BA155" s="7"/>
      <c r="BB155" s="7" t="s">
        <v>36</v>
      </c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t="s">
        <v>35</v>
      </c>
      <c r="BO155" s="7"/>
      <c r="BP155" s="7"/>
      <c r="BQ155" s="7"/>
      <c r="BR155" s="7"/>
      <c r="BS155" s="7" t="s">
        <v>36</v>
      </c>
      <c r="BT155" s="7"/>
      <c r="BU155" s="7"/>
      <c r="BV155" s="7"/>
      <c r="BW155" s="7"/>
      <c r="BX155" s="7"/>
      <c r="BY155" s="7"/>
      <c r="BZ155" s="7"/>
    </row>
    <row r="156" spans="12:78">
      <c r="O156" s="12">
        <v>0</v>
      </c>
      <c r="P156" s="12">
        <v>0</v>
      </c>
      <c r="Q156" s="12">
        <v>0</v>
      </c>
      <c r="R156" s="12">
        <v>1</v>
      </c>
      <c r="S156" s="12">
        <v>-1</v>
      </c>
      <c r="T156" s="40">
        <v>3</v>
      </c>
      <c r="V156" s="46" cm="1">
        <f t="array" ref="V156:AA162">MMULT(O156:T162,$V$138:$AA$143)</f>
        <v>10.186216995340063</v>
      </c>
      <c r="W156" s="46">
        <v>17.526381471965401</v>
      </c>
      <c r="X156" s="46">
        <v>24.434935114826331</v>
      </c>
      <c r="Y156" s="46">
        <v>15.608132940785126</v>
      </c>
      <c r="Z156" s="46">
        <v>12.589885541642435</v>
      </c>
      <c r="AA156" s="46">
        <v>-20.454033546446226</v>
      </c>
      <c r="AF156" s="12">
        <v>1</v>
      </c>
      <c r="AG156" s="12">
        <v>0</v>
      </c>
      <c r="AH156" s="12">
        <v>0</v>
      </c>
      <c r="AI156" s="12">
        <v>0</v>
      </c>
      <c r="AJ156" s="12">
        <v>0</v>
      </c>
      <c r="AK156" s="40">
        <v>-3</v>
      </c>
      <c r="AM156" s="46" cm="1">
        <f t="array" ref="AM156:AR162">MMULT(AF156:AK162,$V$138:$AA$143)</f>
        <v>1.7355714053024798</v>
      </c>
      <c r="AN156" s="46">
        <v>-4.9122414984724028E-2</v>
      </c>
      <c r="AO156" s="46">
        <v>-0.99595835127106636</v>
      </c>
      <c r="AP156" s="46">
        <v>0.59808951195130078</v>
      </c>
      <c r="AQ156" s="46">
        <v>-2.0881596361706012</v>
      </c>
      <c r="AR156" s="46">
        <v>0.3634547808640658</v>
      </c>
      <c r="AW156" s="12">
        <v>1</v>
      </c>
      <c r="AX156" s="12">
        <v>0</v>
      </c>
      <c r="AY156" s="12">
        <v>0</v>
      </c>
      <c r="AZ156" s="12">
        <v>0</v>
      </c>
      <c r="BA156" s="12">
        <v>0</v>
      </c>
      <c r="BB156" s="40">
        <v>-3</v>
      </c>
      <c r="BD156" s="46" cm="1">
        <f t="array" ref="BD156:BI162">MMULT(AW156:BB162,$V$138:$AA$143)</f>
        <v>1.7355714053024798</v>
      </c>
      <c r="BE156" s="46">
        <v>-4.9122414984724028E-2</v>
      </c>
      <c r="BF156" s="46">
        <v>-0.99595835127106636</v>
      </c>
      <c r="BG156" s="46">
        <v>0.59808951195130078</v>
      </c>
      <c r="BH156" s="46">
        <v>-2.0881596361706012</v>
      </c>
      <c r="BI156" s="46">
        <v>0.3634547808640658</v>
      </c>
      <c r="BN156" s="12">
        <v>0</v>
      </c>
      <c r="BO156" s="12">
        <v>1</v>
      </c>
      <c r="BP156" s="12">
        <v>1</v>
      </c>
      <c r="BQ156" s="12">
        <v>0</v>
      </c>
      <c r="BR156" s="12">
        <v>0</v>
      </c>
      <c r="BS156" s="40">
        <v>2</v>
      </c>
      <c r="BU156" s="46" cm="1">
        <f t="array" ref="BU156:BZ162">MMULT(BN156:BS162,$V$138:$AA$143)</f>
        <v>23.709354797076429</v>
      </c>
      <c r="BV156" s="46">
        <v>34.566444118765645</v>
      </c>
      <c r="BW156" s="46">
        <v>18.740233232395706</v>
      </c>
      <c r="BX156" s="46">
        <v>31.649489125360923</v>
      </c>
      <c r="BY156" s="46">
        <v>-7.915601962279867</v>
      </c>
      <c r="BZ156" s="46">
        <v>2.1813923530032318</v>
      </c>
    </row>
    <row r="157" spans="12:78">
      <c r="O157" s="12">
        <v>1</v>
      </c>
      <c r="P157" s="12">
        <v>1</v>
      </c>
      <c r="Q157" s="12">
        <v>0</v>
      </c>
      <c r="R157" s="12">
        <v>1</v>
      </c>
      <c r="S157" s="12">
        <v>0</v>
      </c>
      <c r="T157" s="40">
        <v>2</v>
      </c>
      <c r="V157" s="44">
        <v>31.444333036236614</v>
      </c>
      <c r="W157" s="44">
        <v>40.456349596263337</v>
      </c>
      <c r="X157" s="44">
        <v>21.541506608787277</v>
      </c>
      <c r="Y157" s="44">
        <v>38.219707620281007</v>
      </c>
      <c r="Z157" s="44">
        <v>-7.0508124903641107</v>
      </c>
      <c r="AA157" s="44">
        <v>2.908423575014357</v>
      </c>
      <c r="AF157" s="12">
        <v>1</v>
      </c>
      <c r="AG157" s="12">
        <v>0</v>
      </c>
      <c r="AH157" s="12">
        <v>0</v>
      </c>
      <c r="AI157" s="12">
        <v>-1</v>
      </c>
      <c r="AJ157" s="12">
        <v>0</v>
      </c>
      <c r="AK157" s="40">
        <v>2</v>
      </c>
      <c r="AM157" s="44">
        <v>-0.92219245662102267</v>
      </c>
      <c r="AN157" s="44">
        <v>-6.779329661289621</v>
      </c>
      <c r="AO157" s="44">
        <v>-6.0873238065031288</v>
      </c>
      <c r="AP157" s="44">
        <v>-5.0797778824543318</v>
      </c>
      <c r="AQ157" s="44">
        <v>1.6264570722378426</v>
      </c>
      <c r="AR157" s="44">
        <v>14.908892948399815</v>
      </c>
      <c r="AW157" s="12">
        <v>1</v>
      </c>
      <c r="AX157" s="12">
        <v>2</v>
      </c>
      <c r="AY157" s="12">
        <v>0</v>
      </c>
      <c r="AZ157" s="12">
        <v>-1</v>
      </c>
      <c r="BA157" s="12">
        <v>0</v>
      </c>
      <c r="BB157" s="40">
        <v>2</v>
      </c>
      <c r="BD157" s="44">
        <v>33.179803081400237</v>
      </c>
      <c r="BE157" s="44">
        <v>40.77119986859671</v>
      </c>
      <c r="BF157" s="44">
        <v>8.8048752031494306</v>
      </c>
      <c r="BG157" s="44">
        <v>38.80772354539382</v>
      </c>
      <c r="BH157" s="44">
        <v>-20.869615219332289</v>
      </c>
      <c r="BI157" s="44">
        <v>29.089706871771895</v>
      </c>
      <c r="BN157" s="12">
        <v>0</v>
      </c>
      <c r="BO157" s="12">
        <v>1</v>
      </c>
      <c r="BP157" s="12">
        <v>1</v>
      </c>
      <c r="BQ157" s="12">
        <v>1</v>
      </c>
      <c r="BR157" s="12">
        <v>0</v>
      </c>
      <c r="BS157" s="40">
        <v>-1</v>
      </c>
      <c r="BU157" s="44">
        <v>28.367118658999932</v>
      </c>
      <c r="BV157" s="44">
        <v>43.296651365070545</v>
      </c>
      <c r="BW157" s="44">
        <v>25.831598687627768</v>
      </c>
      <c r="BX157" s="44">
        <v>39.327356519766553</v>
      </c>
      <c r="BY157" s="44">
        <v>-9.6302186706883113</v>
      </c>
      <c r="BZ157" s="44">
        <v>-10.364045814532517</v>
      </c>
    </row>
    <row r="158" spans="12:78">
      <c r="O158" s="12">
        <v>1</v>
      </c>
      <c r="P158" s="12">
        <v>0</v>
      </c>
      <c r="Q158" s="12">
        <v>0</v>
      </c>
      <c r="R158" s="12">
        <v>1</v>
      </c>
      <c r="S158" s="12">
        <v>0</v>
      </c>
      <c r="T158" s="40">
        <v>1</v>
      </c>
      <c r="V158" s="44">
        <v>13.393335267225982</v>
      </c>
      <c r="W158" s="44">
        <v>15.681084831320172</v>
      </c>
      <c r="X158" s="44">
        <v>13.095407103960998</v>
      </c>
      <c r="Y158" s="44">
        <v>15.275956906356933</v>
      </c>
      <c r="Z158" s="44">
        <v>3.197223655420955</v>
      </c>
      <c r="AA158" s="44">
        <v>-5.1819833866716838</v>
      </c>
      <c r="AF158" s="12">
        <v>1</v>
      </c>
      <c r="AG158" s="12">
        <v>1</v>
      </c>
      <c r="AH158" s="12">
        <v>1</v>
      </c>
      <c r="AI158" s="12">
        <v>1</v>
      </c>
      <c r="AJ158" s="12">
        <v>0</v>
      </c>
      <c r="AK158" s="40">
        <v>2</v>
      </c>
      <c r="AM158" s="44">
        <v>36.102690064302408</v>
      </c>
      <c r="AN158" s="44">
        <v>49.247528950085822</v>
      </c>
      <c r="AO158" s="44">
        <v>30.835640336356704</v>
      </c>
      <c r="AP158" s="44">
        <v>45.925446031717854</v>
      </c>
      <c r="AQ158" s="44">
        <v>-5.7183783068589129</v>
      </c>
      <c r="AR158" s="44">
        <v>-4.000591033668452</v>
      </c>
      <c r="AW158" s="12">
        <v>1</v>
      </c>
      <c r="AX158" s="12">
        <v>1</v>
      </c>
      <c r="AY158" s="12">
        <v>1</v>
      </c>
      <c r="AZ158" s="12">
        <v>1</v>
      </c>
      <c r="BA158" s="12">
        <v>0</v>
      </c>
      <c r="BB158" s="40">
        <v>2</v>
      </c>
      <c r="BD158" s="44">
        <v>36.102690064302408</v>
      </c>
      <c r="BE158" s="44">
        <v>49.247528950085822</v>
      </c>
      <c r="BF158" s="44">
        <v>30.835640336356704</v>
      </c>
      <c r="BG158" s="44">
        <v>45.925446031717854</v>
      </c>
      <c r="BH158" s="44">
        <v>-5.7183783068589129</v>
      </c>
      <c r="BI158" s="44">
        <v>-4.000591033668452</v>
      </c>
      <c r="BN158" s="12">
        <v>1</v>
      </c>
      <c r="BO158" s="12">
        <v>1</v>
      </c>
      <c r="BP158" s="12">
        <v>1</v>
      </c>
      <c r="BQ158" s="12">
        <v>0</v>
      </c>
      <c r="BR158" s="12">
        <v>1</v>
      </c>
      <c r="BS158" s="40">
        <v>-2</v>
      </c>
      <c r="BU158" s="44">
        <v>24.916473068962347</v>
      </c>
      <c r="BV158" s="44">
        <v>30.721147478120415</v>
      </c>
      <c r="BW158" s="44">
        <v>5.4007052215303712</v>
      </c>
      <c r="BX158" s="44">
        <v>29.317313090932728</v>
      </c>
      <c r="BY158" s="44">
        <v>-19.308263848501348</v>
      </c>
      <c r="BZ158" s="44">
        <v>15.453442512777777</v>
      </c>
    </row>
    <row r="159" spans="12:78">
      <c r="O159" s="12">
        <v>0</v>
      </c>
      <c r="P159" s="12">
        <v>1</v>
      </c>
      <c r="Q159" s="12">
        <v>-1</v>
      </c>
      <c r="R159" s="12">
        <v>1</v>
      </c>
      <c r="S159" s="12">
        <v>1</v>
      </c>
      <c r="T159" s="40">
        <v>-3</v>
      </c>
      <c r="V159" s="44">
        <v>17.521951469451775</v>
      </c>
      <c r="W159" s="44">
        <v>20.918118431765073</v>
      </c>
      <c r="X159" s="44">
        <v>-6.1002384271053511</v>
      </c>
      <c r="Y159" s="44">
        <v>19.985614150513367</v>
      </c>
      <c r="Z159" s="44">
        <v>-22.599589287749588</v>
      </c>
      <c r="AA159" s="44">
        <v>15.362578781743579</v>
      </c>
      <c r="AF159" s="12">
        <v>0</v>
      </c>
      <c r="AG159" s="12">
        <v>1</v>
      </c>
      <c r="AH159" s="12">
        <v>1</v>
      </c>
      <c r="AI159" s="12">
        <v>1</v>
      </c>
      <c r="AJ159" s="12">
        <v>1</v>
      </c>
      <c r="AK159" s="40">
        <v>1</v>
      </c>
      <c r="AM159" s="44">
        <v>30.838665525583369</v>
      </c>
      <c r="AN159" s="44">
        <v>42.500477139410037</v>
      </c>
      <c r="AO159" s="44">
        <v>16.488029028033502</v>
      </c>
      <c r="AP159" s="44">
        <v>39.397090973387058</v>
      </c>
      <c r="AQ159" s="44">
        <v>-15.934720920739188</v>
      </c>
      <c r="AR159" s="44">
        <v>5.5445495643779612</v>
      </c>
      <c r="AW159" s="12">
        <v>0</v>
      </c>
      <c r="AX159" s="12">
        <v>1</v>
      </c>
      <c r="AY159" s="12">
        <v>0</v>
      </c>
      <c r="AZ159" s="12">
        <v>1</v>
      </c>
      <c r="BA159" s="12">
        <v>1</v>
      </c>
      <c r="BB159" s="40">
        <v>1</v>
      </c>
      <c r="BD159" s="44">
        <v>26.180308497517572</v>
      </c>
      <c r="BE159" s="44">
        <v>33.709297785587552</v>
      </c>
      <c r="BF159" s="44">
        <v>7.1938953004640762</v>
      </c>
      <c r="BG159" s="44">
        <v>31.691352561950211</v>
      </c>
      <c r="BH159" s="44">
        <v>-17.267155104244388</v>
      </c>
      <c r="BI159" s="44">
        <v>12.453564173060769</v>
      </c>
      <c r="BN159" s="12">
        <v>0</v>
      </c>
      <c r="BO159" s="12">
        <v>0</v>
      </c>
      <c r="BP159" s="12">
        <v>-1</v>
      </c>
      <c r="BQ159" s="12">
        <v>1</v>
      </c>
      <c r="BR159" s="12">
        <v>1</v>
      </c>
      <c r="BS159" s="40">
        <v>3</v>
      </c>
      <c r="BU159" s="44">
        <v>6.4709537004411439</v>
      </c>
      <c r="BV159" s="44">
        <v>3.142853666821908</v>
      </c>
      <c r="BW159" s="44">
        <v>-7.5463379319316317</v>
      </c>
      <c r="BX159" s="44">
        <v>4.0418634365892929</v>
      </c>
      <c r="BY159" s="44">
        <v>-5.3515531419645193</v>
      </c>
      <c r="BZ159" s="44">
        <v>14.272171820057537</v>
      </c>
    </row>
    <row r="160" spans="12:78">
      <c r="O160" s="12">
        <v>0</v>
      </c>
      <c r="P160" s="12">
        <v>1</v>
      </c>
      <c r="Q160" s="12">
        <v>-1</v>
      </c>
      <c r="R160" s="12">
        <v>1</v>
      </c>
      <c r="S160" s="12">
        <v>1</v>
      </c>
      <c r="T160" s="40">
        <v>1</v>
      </c>
      <c r="V160" s="44">
        <v>21.521951469451775</v>
      </c>
      <c r="W160" s="44">
        <v>24.918118431765073</v>
      </c>
      <c r="X160" s="44">
        <v>-2.1002384271053511</v>
      </c>
      <c r="Y160" s="44">
        <v>23.985614150513367</v>
      </c>
      <c r="Z160" s="44">
        <v>-18.599589287749588</v>
      </c>
      <c r="AA160" s="44">
        <v>19.362578781743579</v>
      </c>
      <c r="AF160" s="12">
        <v>0</v>
      </c>
      <c r="AG160" s="12">
        <v>0</v>
      </c>
      <c r="AH160" s="12">
        <v>0</v>
      </c>
      <c r="AI160" s="12">
        <v>1</v>
      </c>
      <c r="AJ160" s="12">
        <v>1</v>
      </c>
      <c r="AK160" s="40">
        <v>2</v>
      </c>
      <c r="AM160" s="44">
        <v>10.129310728506942</v>
      </c>
      <c r="AN160" s="44">
        <v>10.934033020644391</v>
      </c>
      <c r="AO160" s="44">
        <v>0.74779579563779564</v>
      </c>
      <c r="AP160" s="44">
        <v>10.747601848026139</v>
      </c>
      <c r="AQ160" s="44">
        <v>-5.0191189584593232</v>
      </c>
      <c r="AR160" s="44">
        <v>6.3631572113747286</v>
      </c>
      <c r="AW160" s="12">
        <v>0</v>
      </c>
      <c r="AX160" s="12">
        <v>0</v>
      </c>
      <c r="AY160" s="12">
        <v>0</v>
      </c>
      <c r="AZ160" s="12">
        <v>1</v>
      </c>
      <c r="BA160" s="12">
        <v>1</v>
      </c>
      <c r="BB160" s="40">
        <v>2</v>
      </c>
      <c r="BD160" s="44">
        <v>10.129310728506942</v>
      </c>
      <c r="BE160" s="44">
        <v>10.934033020644391</v>
      </c>
      <c r="BF160" s="44">
        <v>0.74779579563779564</v>
      </c>
      <c r="BG160" s="44">
        <v>10.747601848026139</v>
      </c>
      <c r="BH160" s="44">
        <v>-5.0191189584593232</v>
      </c>
      <c r="BI160" s="44">
        <v>6.3631572113747286</v>
      </c>
      <c r="BN160" s="12">
        <v>0</v>
      </c>
      <c r="BO160" s="12">
        <v>0</v>
      </c>
      <c r="BP160" s="12">
        <v>0</v>
      </c>
      <c r="BQ160" s="12">
        <v>0</v>
      </c>
      <c r="BR160" s="12">
        <v>0</v>
      </c>
      <c r="BS160" s="40">
        <v>0</v>
      </c>
      <c r="BU160" s="44">
        <v>0</v>
      </c>
      <c r="BV160" s="44">
        <v>0</v>
      </c>
      <c r="BW160" s="44">
        <v>0</v>
      </c>
      <c r="BX160" s="44">
        <v>0</v>
      </c>
      <c r="BY160" s="44">
        <v>0</v>
      </c>
      <c r="BZ160" s="44">
        <v>0</v>
      </c>
    </row>
    <row r="161" spans="13:78">
      <c r="O161" s="12">
        <v>0</v>
      </c>
      <c r="P161" s="12">
        <v>0</v>
      </c>
      <c r="Q161" s="12">
        <v>1</v>
      </c>
      <c r="R161" s="12">
        <v>-1</v>
      </c>
      <c r="S161" s="12">
        <v>-1</v>
      </c>
      <c r="T161" s="40">
        <v>-2</v>
      </c>
      <c r="V161" s="44">
        <v>-5.4709537004411439</v>
      </c>
      <c r="W161" s="44">
        <v>-2.142853666821908</v>
      </c>
      <c r="X161" s="44">
        <v>8.5463379319316317</v>
      </c>
      <c r="Y161" s="44">
        <v>-3.0418634365892929</v>
      </c>
      <c r="Z161" s="44">
        <v>6.3515531419645193</v>
      </c>
      <c r="AA161" s="44">
        <v>-13.272171820057537</v>
      </c>
      <c r="AF161" s="12">
        <v>0</v>
      </c>
      <c r="AG161" s="12">
        <v>1</v>
      </c>
      <c r="AH161" s="12">
        <v>1</v>
      </c>
      <c r="AI161" s="12">
        <v>1</v>
      </c>
      <c r="AJ161" s="12">
        <v>0</v>
      </c>
      <c r="AK161" s="40">
        <v>-1</v>
      </c>
      <c r="AM161" s="44">
        <v>28.367118658999932</v>
      </c>
      <c r="AN161" s="44">
        <v>43.296651365070545</v>
      </c>
      <c r="AO161" s="44">
        <v>25.831598687627768</v>
      </c>
      <c r="AP161" s="44">
        <v>39.327356519766553</v>
      </c>
      <c r="AQ161" s="44">
        <v>-9.6302186706883113</v>
      </c>
      <c r="AR161" s="44">
        <v>-10.364045814532517</v>
      </c>
      <c r="AW161" s="12">
        <v>0</v>
      </c>
      <c r="AX161" s="12">
        <v>1</v>
      </c>
      <c r="AY161" s="12">
        <v>0</v>
      </c>
      <c r="AZ161" s="12">
        <v>1</v>
      </c>
      <c r="BA161" s="12">
        <v>1</v>
      </c>
      <c r="BB161" s="40">
        <v>-1</v>
      </c>
      <c r="BD161" s="44">
        <v>24.180308497517572</v>
      </c>
      <c r="BE161" s="44">
        <v>31.709297785587552</v>
      </c>
      <c r="BF161" s="44">
        <v>5.1938953004640762</v>
      </c>
      <c r="BG161" s="44">
        <v>29.691352561950211</v>
      </c>
      <c r="BH161" s="44">
        <v>-19.267155104244388</v>
      </c>
      <c r="BI161" s="44">
        <v>10.453564173060769</v>
      </c>
      <c r="BN161" s="12">
        <v>1</v>
      </c>
      <c r="BO161" s="12">
        <v>0</v>
      </c>
      <c r="BP161" s="12">
        <v>0</v>
      </c>
      <c r="BQ161" s="12">
        <v>1</v>
      </c>
      <c r="BR161" s="12">
        <v>1</v>
      </c>
      <c r="BS161" s="40">
        <v>-1</v>
      </c>
      <c r="BU161" s="44">
        <v>11.864882133809422</v>
      </c>
      <c r="BV161" s="44">
        <v>10.884910605659666</v>
      </c>
      <c r="BW161" s="44">
        <v>-0.24816255563326983</v>
      </c>
      <c r="BX161" s="44">
        <v>11.34569135997744</v>
      </c>
      <c r="BY161" s="44">
        <v>-7.107278594629924</v>
      </c>
      <c r="BZ161" s="44">
        <v>6.7266119922387944</v>
      </c>
    </row>
    <row r="162" spans="13:78">
      <c r="O162" s="12">
        <v>0</v>
      </c>
      <c r="P162" s="12">
        <v>0</v>
      </c>
      <c r="Q162" s="12">
        <v>1</v>
      </c>
      <c r="R162" s="12">
        <v>0</v>
      </c>
      <c r="S162" s="12">
        <v>0</v>
      </c>
      <c r="T162" s="40">
        <v>1</v>
      </c>
      <c r="V162" s="45">
        <v>5.6583570280657982</v>
      </c>
      <c r="W162" s="45">
        <v>9.7911793538224821</v>
      </c>
      <c r="X162" s="45">
        <v>10.294133727569427</v>
      </c>
      <c r="Y162" s="45">
        <v>8.7057384114368457</v>
      </c>
      <c r="Z162" s="45">
        <v>2.3324341835051974</v>
      </c>
      <c r="AA162" s="45">
        <v>-5.909014608682809</v>
      </c>
      <c r="AF162" s="12">
        <v>0</v>
      </c>
      <c r="AG162" s="12">
        <v>-1</v>
      </c>
      <c r="AH162" s="12">
        <v>0</v>
      </c>
      <c r="AI162" s="12">
        <v>0</v>
      </c>
      <c r="AJ162" s="12">
        <v>0</v>
      </c>
      <c r="AK162" s="40">
        <v>3</v>
      </c>
      <c r="AM162" s="45">
        <v>-14.050997769010632</v>
      </c>
      <c r="AN162" s="45">
        <v>-20.775264764943167</v>
      </c>
      <c r="AO162" s="45">
        <v>-4.4460995048262797</v>
      </c>
      <c r="AP162" s="45">
        <v>-18.943750713924075</v>
      </c>
      <c r="AQ162" s="45">
        <v>14.248036145785065</v>
      </c>
      <c r="AR162" s="45">
        <v>-4.0904069616860408</v>
      </c>
      <c r="AW162" s="12">
        <v>1</v>
      </c>
      <c r="AX162" s="12">
        <v>-1</v>
      </c>
      <c r="AY162" s="12">
        <v>0</v>
      </c>
      <c r="AZ162" s="12">
        <v>0</v>
      </c>
      <c r="BA162" s="12">
        <v>0</v>
      </c>
      <c r="BB162" s="40">
        <v>3</v>
      </c>
      <c r="BD162" s="45">
        <v>-9.315426363708152</v>
      </c>
      <c r="BE162" s="45">
        <v>-17.824387179927889</v>
      </c>
      <c r="BF162" s="45">
        <v>-2.442057856097346</v>
      </c>
      <c r="BG162" s="45">
        <v>-15.345661201972774</v>
      </c>
      <c r="BH162" s="45">
        <v>15.159876509614463</v>
      </c>
      <c r="BI162" s="45">
        <v>-0.72695218082197499</v>
      </c>
      <c r="BN162" s="12">
        <v>1</v>
      </c>
      <c r="BO162" s="12">
        <v>0</v>
      </c>
      <c r="BP162" s="12">
        <v>0</v>
      </c>
      <c r="BQ162" s="12">
        <v>0</v>
      </c>
      <c r="BR162" s="12">
        <v>0</v>
      </c>
      <c r="BS162" s="40">
        <v>-1</v>
      </c>
      <c r="BU162" s="45">
        <v>3.7355714053024798</v>
      </c>
      <c r="BV162" s="45">
        <v>1.950877585015276</v>
      </c>
      <c r="BW162" s="45">
        <v>1.0040416487289336</v>
      </c>
      <c r="BX162" s="45">
        <v>2.5980895119513008</v>
      </c>
      <c r="BY162" s="45">
        <v>-8.8159636170601074E-2</v>
      </c>
      <c r="BZ162" s="45">
        <v>2.3634547808640658</v>
      </c>
    </row>
    <row r="164" spans="13:78">
      <c r="T164" t="s">
        <v>33</v>
      </c>
      <c r="V164" s="46">
        <f>IF(V156&lt;0,0,V156)</f>
        <v>10.186216995340063</v>
      </c>
      <c r="W164" s="46">
        <f t="shared" ref="W164:AA164" si="127">IF(W156&lt;0,0,W156)</f>
        <v>17.526381471965401</v>
      </c>
      <c r="X164" s="46">
        <f t="shared" si="127"/>
        <v>24.434935114826331</v>
      </c>
      <c r="Y164" s="46">
        <f t="shared" si="127"/>
        <v>15.608132940785126</v>
      </c>
      <c r="Z164" s="46">
        <f t="shared" si="127"/>
        <v>12.589885541642435</v>
      </c>
      <c r="AA164" s="46">
        <f t="shared" si="127"/>
        <v>0</v>
      </c>
      <c r="AK164" t="s">
        <v>33</v>
      </c>
      <c r="AM164" s="46">
        <f>IF(AM156&lt;0,0,AM156)</f>
        <v>1.7355714053024798</v>
      </c>
      <c r="AN164" s="46">
        <f t="shared" ref="AN164:AR164" si="128">IF(AN156&lt;0,0,AN156)</f>
        <v>0</v>
      </c>
      <c r="AO164" s="46">
        <f t="shared" si="128"/>
        <v>0</v>
      </c>
      <c r="AP164" s="46">
        <f t="shared" si="128"/>
        <v>0.59808951195130078</v>
      </c>
      <c r="AQ164" s="46">
        <f t="shared" si="128"/>
        <v>0</v>
      </c>
      <c r="AR164" s="46">
        <f t="shared" si="128"/>
        <v>0.3634547808640658</v>
      </c>
      <c r="BB164" t="s">
        <v>33</v>
      </c>
      <c r="BD164" s="46">
        <f>IF(BD156&lt;0,0,BD156)</f>
        <v>1.7355714053024798</v>
      </c>
      <c r="BE164" s="46">
        <f t="shared" ref="BE164:BI164" si="129">IF(BE156&lt;0,0,BE156)</f>
        <v>0</v>
      </c>
      <c r="BF164" s="46">
        <f t="shared" si="129"/>
        <v>0</v>
      </c>
      <c r="BG164" s="46">
        <f t="shared" si="129"/>
        <v>0.59808951195130078</v>
      </c>
      <c r="BH164" s="46">
        <f t="shared" si="129"/>
        <v>0</v>
      </c>
      <c r="BI164" s="46">
        <f t="shared" si="129"/>
        <v>0.3634547808640658</v>
      </c>
      <c r="BS164" t="s">
        <v>33</v>
      </c>
      <c r="BU164" s="46">
        <f>IF(BU156&lt;0,0,BU156)</f>
        <v>23.709354797076429</v>
      </c>
      <c r="BV164" s="46">
        <f t="shared" ref="BV164:BZ164" si="130">IF(BV156&lt;0,0,BV156)</f>
        <v>34.566444118765645</v>
      </c>
      <c r="BW164" s="46">
        <f t="shared" si="130"/>
        <v>18.740233232395706</v>
      </c>
      <c r="BX164" s="46">
        <f t="shared" si="130"/>
        <v>31.649489125360923</v>
      </c>
      <c r="BY164" s="46">
        <f t="shared" si="130"/>
        <v>0</v>
      </c>
      <c r="BZ164" s="46">
        <f t="shared" si="130"/>
        <v>2.1813923530032318</v>
      </c>
    </row>
    <row r="165" spans="13:78">
      <c r="V165" s="44">
        <f>IF(V157&lt;0,0,V157)</f>
        <v>31.444333036236614</v>
      </c>
      <c r="W165" s="44">
        <f t="shared" ref="W165:AA165" si="131">IF(W157&lt;0,0,W157)</f>
        <v>40.456349596263337</v>
      </c>
      <c r="X165" s="44">
        <f t="shared" si="131"/>
        <v>21.541506608787277</v>
      </c>
      <c r="Y165" s="44">
        <f t="shared" si="131"/>
        <v>38.219707620281007</v>
      </c>
      <c r="Z165" s="44">
        <f t="shared" si="131"/>
        <v>0</v>
      </c>
      <c r="AA165" s="44">
        <f t="shared" si="131"/>
        <v>2.908423575014357</v>
      </c>
      <c r="AM165" s="44">
        <f>IF(AM157&lt;0,0,AM157)</f>
        <v>0</v>
      </c>
      <c r="AN165" s="44">
        <f t="shared" ref="AN165:AR165" si="132">IF(AN157&lt;0,0,AN157)</f>
        <v>0</v>
      </c>
      <c r="AO165" s="44">
        <f t="shared" si="132"/>
        <v>0</v>
      </c>
      <c r="AP165" s="44">
        <f t="shared" si="132"/>
        <v>0</v>
      </c>
      <c r="AQ165" s="44">
        <f t="shared" si="132"/>
        <v>1.6264570722378426</v>
      </c>
      <c r="AR165" s="44">
        <f t="shared" si="132"/>
        <v>14.908892948399815</v>
      </c>
      <c r="BD165" s="44">
        <f>IF(BD157&lt;0,0,BD157)</f>
        <v>33.179803081400237</v>
      </c>
      <c r="BE165" s="44">
        <f t="shared" ref="BE165:BI165" si="133">IF(BE157&lt;0,0,BE157)</f>
        <v>40.77119986859671</v>
      </c>
      <c r="BF165" s="44">
        <f t="shared" si="133"/>
        <v>8.8048752031494306</v>
      </c>
      <c r="BG165" s="44">
        <f t="shared" si="133"/>
        <v>38.80772354539382</v>
      </c>
      <c r="BH165" s="44">
        <f t="shared" si="133"/>
        <v>0</v>
      </c>
      <c r="BI165" s="44">
        <f t="shared" si="133"/>
        <v>29.089706871771895</v>
      </c>
      <c r="BU165" s="44">
        <f>IF(BU157&lt;0,0,BU157)</f>
        <v>28.367118658999932</v>
      </c>
      <c r="BV165" s="44">
        <f t="shared" ref="BV165:BZ165" si="134">IF(BV157&lt;0,0,BV157)</f>
        <v>43.296651365070545</v>
      </c>
      <c r="BW165" s="44">
        <f t="shared" si="134"/>
        <v>25.831598687627768</v>
      </c>
      <c r="BX165" s="44">
        <f t="shared" si="134"/>
        <v>39.327356519766553</v>
      </c>
      <c r="BY165" s="44">
        <f t="shared" si="134"/>
        <v>0</v>
      </c>
      <c r="BZ165" s="44">
        <f t="shared" si="134"/>
        <v>0</v>
      </c>
    </row>
    <row r="166" spans="13:78">
      <c r="V166" s="44">
        <f t="shared" ref="V166:AA170" si="135">IF(V158&lt;0,0,V158)</f>
        <v>13.393335267225982</v>
      </c>
      <c r="W166" s="44">
        <f t="shared" si="135"/>
        <v>15.681084831320172</v>
      </c>
      <c r="X166" s="44">
        <f t="shared" si="135"/>
        <v>13.095407103960998</v>
      </c>
      <c r="Y166" s="44">
        <f t="shared" si="135"/>
        <v>15.275956906356933</v>
      </c>
      <c r="Z166" s="44">
        <f t="shared" si="135"/>
        <v>3.197223655420955</v>
      </c>
      <c r="AA166" s="44">
        <f t="shared" si="135"/>
        <v>0</v>
      </c>
      <c r="AM166" s="44">
        <f t="shared" ref="AM166:AR166" si="136">IF(AM158&lt;0,0,AM158)</f>
        <v>36.102690064302408</v>
      </c>
      <c r="AN166" s="44">
        <f t="shared" si="136"/>
        <v>49.247528950085822</v>
      </c>
      <c r="AO166" s="44">
        <f t="shared" si="136"/>
        <v>30.835640336356704</v>
      </c>
      <c r="AP166" s="44">
        <f t="shared" si="136"/>
        <v>45.925446031717854</v>
      </c>
      <c r="AQ166" s="44">
        <f t="shared" si="136"/>
        <v>0</v>
      </c>
      <c r="AR166" s="44">
        <f t="shared" si="136"/>
        <v>0</v>
      </c>
      <c r="BD166" s="44">
        <f t="shared" ref="BD166:BI166" si="137">IF(BD158&lt;0,0,BD158)</f>
        <v>36.102690064302408</v>
      </c>
      <c r="BE166" s="44">
        <f t="shared" si="137"/>
        <v>49.247528950085822</v>
      </c>
      <c r="BF166" s="44">
        <f t="shared" si="137"/>
        <v>30.835640336356704</v>
      </c>
      <c r="BG166" s="44">
        <f t="shared" si="137"/>
        <v>45.925446031717854</v>
      </c>
      <c r="BH166" s="44">
        <f t="shared" si="137"/>
        <v>0</v>
      </c>
      <c r="BI166" s="44">
        <f t="shared" si="137"/>
        <v>0</v>
      </c>
      <c r="BU166" s="44">
        <f t="shared" ref="BU166:BZ166" si="138">IF(BU158&lt;0,0,BU158)</f>
        <v>24.916473068962347</v>
      </c>
      <c r="BV166" s="44">
        <f t="shared" si="138"/>
        <v>30.721147478120415</v>
      </c>
      <c r="BW166" s="44">
        <f t="shared" si="138"/>
        <v>5.4007052215303712</v>
      </c>
      <c r="BX166" s="44">
        <f t="shared" si="138"/>
        <v>29.317313090932728</v>
      </c>
      <c r="BY166" s="44">
        <f t="shared" si="138"/>
        <v>0</v>
      </c>
      <c r="BZ166" s="44">
        <f t="shared" si="138"/>
        <v>15.453442512777777</v>
      </c>
    </row>
    <row r="167" spans="13:78">
      <c r="V167" s="44">
        <f t="shared" si="135"/>
        <v>17.521951469451775</v>
      </c>
      <c r="W167" s="44">
        <f t="shared" si="135"/>
        <v>20.918118431765073</v>
      </c>
      <c r="X167" s="44">
        <f t="shared" si="135"/>
        <v>0</v>
      </c>
      <c r="Y167" s="44">
        <f t="shared" si="135"/>
        <v>19.985614150513367</v>
      </c>
      <c r="Z167" s="44">
        <f t="shared" si="135"/>
        <v>0</v>
      </c>
      <c r="AA167" s="44">
        <f t="shared" si="135"/>
        <v>15.362578781743579</v>
      </c>
      <c r="AM167" s="44">
        <f t="shared" ref="AM167:AR167" si="139">IF(AM159&lt;0,0,AM159)</f>
        <v>30.838665525583369</v>
      </c>
      <c r="AN167" s="44">
        <f t="shared" si="139"/>
        <v>42.500477139410037</v>
      </c>
      <c r="AO167" s="44">
        <f t="shared" si="139"/>
        <v>16.488029028033502</v>
      </c>
      <c r="AP167" s="44">
        <f t="shared" si="139"/>
        <v>39.397090973387058</v>
      </c>
      <c r="AQ167" s="44">
        <f t="shared" si="139"/>
        <v>0</v>
      </c>
      <c r="AR167" s="44">
        <f t="shared" si="139"/>
        <v>5.5445495643779612</v>
      </c>
      <c r="BD167" s="44">
        <f t="shared" ref="BD167:BI167" si="140">IF(BD159&lt;0,0,BD159)</f>
        <v>26.180308497517572</v>
      </c>
      <c r="BE167" s="44">
        <f t="shared" si="140"/>
        <v>33.709297785587552</v>
      </c>
      <c r="BF167" s="44">
        <f t="shared" si="140"/>
        <v>7.1938953004640762</v>
      </c>
      <c r="BG167" s="44">
        <f t="shared" si="140"/>
        <v>31.691352561950211</v>
      </c>
      <c r="BH167" s="44">
        <f t="shared" si="140"/>
        <v>0</v>
      </c>
      <c r="BI167" s="44">
        <f t="shared" si="140"/>
        <v>12.453564173060769</v>
      </c>
      <c r="BU167" s="44">
        <f t="shared" ref="BU167:BZ167" si="141">IF(BU159&lt;0,0,BU159)</f>
        <v>6.4709537004411439</v>
      </c>
      <c r="BV167" s="44">
        <f t="shared" si="141"/>
        <v>3.142853666821908</v>
      </c>
      <c r="BW167" s="44">
        <f t="shared" si="141"/>
        <v>0</v>
      </c>
      <c r="BX167" s="44">
        <f t="shared" si="141"/>
        <v>4.0418634365892929</v>
      </c>
      <c r="BY167" s="44">
        <f t="shared" si="141"/>
        <v>0</v>
      </c>
      <c r="BZ167" s="44">
        <f t="shared" si="141"/>
        <v>14.272171820057537</v>
      </c>
    </row>
    <row r="168" spans="13:78">
      <c r="V168" s="44">
        <f t="shared" si="135"/>
        <v>21.521951469451775</v>
      </c>
      <c r="W168" s="44">
        <f t="shared" si="135"/>
        <v>24.918118431765073</v>
      </c>
      <c r="X168" s="44">
        <f t="shared" si="135"/>
        <v>0</v>
      </c>
      <c r="Y168" s="44">
        <f t="shared" si="135"/>
        <v>23.985614150513367</v>
      </c>
      <c r="Z168" s="44">
        <f t="shared" si="135"/>
        <v>0</v>
      </c>
      <c r="AA168" s="44">
        <f t="shared" si="135"/>
        <v>19.362578781743579</v>
      </c>
      <c r="AM168" s="44">
        <f t="shared" ref="AM168:AR168" si="142">IF(AM160&lt;0,0,AM160)</f>
        <v>10.129310728506942</v>
      </c>
      <c r="AN168" s="44">
        <f t="shared" si="142"/>
        <v>10.934033020644391</v>
      </c>
      <c r="AO168" s="44">
        <f t="shared" si="142"/>
        <v>0.74779579563779564</v>
      </c>
      <c r="AP168" s="44">
        <f t="shared" si="142"/>
        <v>10.747601848026139</v>
      </c>
      <c r="AQ168" s="44">
        <f t="shared" si="142"/>
        <v>0</v>
      </c>
      <c r="AR168" s="44">
        <f t="shared" si="142"/>
        <v>6.3631572113747286</v>
      </c>
      <c r="BD168" s="44">
        <f t="shared" ref="BD168:BI168" si="143">IF(BD160&lt;0,0,BD160)</f>
        <v>10.129310728506942</v>
      </c>
      <c r="BE168" s="44">
        <f t="shared" si="143"/>
        <v>10.934033020644391</v>
      </c>
      <c r="BF168" s="44">
        <f t="shared" si="143"/>
        <v>0.74779579563779564</v>
      </c>
      <c r="BG168" s="44">
        <f t="shared" si="143"/>
        <v>10.747601848026139</v>
      </c>
      <c r="BH168" s="44">
        <f t="shared" si="143"/>
        <v>0</v>
      </c>
      <c r="BI168" s="44">
        <f t="shared" si="143"/>
        <v>6.3631572113747286</v>
      </c>
      <c r="BU168" s="44">
        <f t="shared" ref="BU168:BZ168" si="144">IF(BU160&lt;0,0,BU160)</f>
        <v>0</v>
      </c>
      <c r="BV168" s="44">
        <f t="shared" si="144"/>
        <v>0</v>
      </c>
      <c r="BW168" s="44">
        <f t="shared" si="144"/>
        <v>0</v>
      </c>
      <c r="BX168" s="44">
        <f t="shared" si="144"/>
        <v>0</v>
      </c>
      <c r="BY168" s="44">
        <f t="shared" si="144"/>
        <v>0</v>
      </c>
      <c r="BZ168" s="44">
        <f t="shared" si="144"/>
        <v>0</v>
      </c>
    </row>
    <row r="169" spans="13:78">
      <c r="V169" s="44">
        <f t="shared" si="135"/>
        <v>0</v>
      </c>
      <c r="W169" s="44">
        <f t="shared" si="135"/>
        <v>0</v>
      </c>
      <c r="X169" s="44">
        <f t="shared" si="135"/>
        <v>8.5463379319316317</v>
      </c>
      <c r="Y169" s="44">
        <f t="shared" si="135"/>
        <v>0</v>
      </c>
      <c r="Z169" s="44">
        <f t="shared" si="135"/>
        <v>6.3515531419645193</v>
      </c>
      <c r="AA169" s="44">
        <f t="shared" si="135"/>
        <v>0</v>
      </c>
      <c r="AM169" s="44">
        <f t="shared" ref="AM169:AR169" si="145">IF(AM161&lt;0,0,AM161)</f>
        <v>28.367118658999932</v>
      </c>
      <c r="AN169" s="44">
        <f t="shared" si="145"/>
        <v>43.296651365070545</v>
      </c>
      <c r="AO169" s="44">
        <f t="shared" si="145"/>
        <v>25.831598687627768</v>
      </c>
      <c r="AP169" s="44">
        <f t="shared" si="145"/>
        <v>39.327356519766553</v>
      </c>
      <c r="AQ169" s="44">
        <f t="shared" si="145"/>
        <v>0</v>
      </c>
      <c r="AR169" s="44">
        <f t="shared" si="145"/>
        <v>0</v>
      </c>
      <c r="BD169" s="44">
        <f t="shared" ref="BD169:BI169" si="146">IF(BD161&lt;0,0,BD161)</f>
        <v>24.180308497517572</v>
      </c>
      <c r="BE169" s="44">
        <f t="shared" si="146"/>
        <v>31.709297785587552</v>
      </c>
      <c r="BF169" s="44">
        <f t="shared" si="146"/>
        <v>5.1938953004640762</v>
      </c>
      <c r="BG169" s="44">
        <f t="shared" si="146"/>
        <v>29.691352561950211</v>
      </c>
      <c r="BH169" s="44">
        <f t="shared" si="146"/>
        <v>0</v>
      </c>
      <c r="BI169" s="44">
        <f t="shared" si="146"/>
        <v>10.453564173060769</v>
      </c>
      <c r="BU169" s="44">
        <f t="shared" ref="BU169:BZ169" si="147">IF(BU161&lt;0,0,BU161)</f>
        <v>11.864882133809422</v>
      </c>
      <c r="BV169" s="44">
        <f t="shared" si="147"/>
        <v>10.884910605659666</v>
      </c>
      <c r="BW169" s="44">
        <f t="shared" si="147"/>
        <v>0</v>
      </c>
      <c r="BX169" s="44">
        <f t="shared" si="147"/>
        <v>11.34569135997744</v>
      </c>
      <c r="BY169" s="44">
        <f t="shared" si="147"/>
        <v>0</v>
      </c>
      <c r="BZ169" s="44">
        <f t="shared" si="147"/>
        <v>6.7266119922387944</v>
      </c>
    </row>
    <row r="170" spans="13:78">
      <c r="V170" s="45">
        <f t="shared" si="135"/>
        <v>5.6583570280657982</v>
      </c>
      <c r="W170" s="45">
        <f t="shared" si="135"/>
        <v>9.7911793538224821</v>
      </c>
      <c r="X170" s="45">
        <f t="shared" si="135"/>
        <v>10.294133727569427</v>
      </c>
      <c r="Y170" s="45">
        <f t="shared" si="135"/>
        <v>8.7057384114368457</v>
      </c>
      <c r="Z170" s="45">
        <f t="shared" si="135"/>
        <v>2.3324341835051974</v>
      </c>
      <c r="AA170" s="45">
        <f t="shared" si="135"/>
        <v>0</v>
      </c>
      <c r="AM170" s="45">
        <f t="shared" ref="AM170:AR170" si="148">IF(AM162&lt;0,0,AM162)</f>
        <v>0</v>
      </c>
      <c r="AN170" s="45">
        <f t="shared" si="148"/>
        <v>0</v>
      </c>
      <c r="AO170" s="45">
        <f t="shared" si="148"/>
        <v>0</v>
      </c>
      <c r="AP170" s="45">
        <f t="shared" si="148"/>
        <v>0</v>
      </c>
      <c r="AQ170" s="45">
        <f t="shared" si="148"/>
        <v>14.248036145785065</v>
      </c>
      <c r="AR170" s="45">
        <f t="shared" si="148"/>
        <v>0</v>
      </c>
      <c r="BD170" s="45">
        <f t="shared" ref="BD170:BI170" si="149">IF(BD162&lt;0,0,BD162)</f>
        <v>0</v>
      </c>
      <c r="BE170" s="45">
        <f t="shared" si="149"/>
        <v>0</v>
      </c>
      <c r="BF170" s="45">
        <f t="shared" si="149"/>
        <v>0</v>
      </c>
      <c r="BG170" s="45">
        <f t="shared" si="149"/>
        <v>0</v>
      </c>
      <c r="BH170" s="45">
        <f t="shared" si="149"/>
        <v>15.159876509614463</v>
      </c>
      <c r="BI170" s="45">
        <f t="shared" si="149"/>
        <v>0</v>
      </c>
      <c r="BU170" s="45">
        <f t="shared" ref="BU170:BZ170" si="150">IF(BU162&lt;0,0,BU162)</f>
        <v>3.7355714053024798</v>
      </c>
      <c r="BV170" s="45">
        <f t="shared" si="150"/>
        <v>1.950877585015276</v>
      </c>
      <c r="BW170" s="45">
        <f t="shared" si="150"/>
        <v>1.0040416487289336</v>
      </c>
      <c r="BX170" s="45">
        <f t="shared" si="150"/>
        <v>2.5980895119513008</v>
      </c>
      <c r="BY170" s="45">
        <f t="shared" si="150"/>
        <v>0</v>
      </c>
      <c r="BZ170" s="45">
        <f t="shared" si="150"/>
        <v>2.3634547808640658</v>
      </c>
    </row>
    <row r="171" spans="13:78">
      <c r="M171" t="s">
        <v>34</v>
      </c>
      <c r="V171" s="43">
        <v>1</v>
      </c>
      <c r="W171" s="43">
        <v>1</v>
      </c>
      <c r="X171" s="43">
        <v>1</v>
      </c>
      <c r="Y171" s="43">
        <v>1</v>
      </c>
      <c r="Z171" s="43">
        <v>1</v>
      </c>
      <c r="AA171" s="43">
        <v>1</v>
      </c>
      <c r="AD171" t="s">
        <v>34</v>
      </c>
      <c r="AM171" s="43">
        <v>1</v>
      </c>
      <c r="AN171" s="43">
        <v>1</v>
      </c>
      <c r="AO171" s="43">
        <v>1</v>
      </c>
      <c r="AP171" s="43">
        <v>1</v>
      </c>
      <c r="AQ171" s="43">
        <v>1</v>
      </c>
      <c r="AR171" s="43">
        <v>1</v>
      </c>
      <c r="AU171" t="s">
        <v>34</v>
      </c>
      <c r="BD171" s="43">
        <v>1</v>
      </c>
      <c r="BE171" s="43">
        <v>1</v>
      </c>
      <c r="BF171" s="43">
        <v>1</v>
      </c>
      <c r="BG171" s="43">
        <v>1</v>
      </c>
      <c r="BH171" s="43">
        <v>1</v>
      </c>
      <c r="BI171" s="43">
        <v>1</v>
      </c>
      <c r="BL171" t="s">
        <v>34</v>
      </c>
      <c r="BU171" s="43">
        <v>1</v>
      </c>
      <c r="BV171" s="43">
        <v>1</v>
      </c>
      <c r="BW171" s="43">
        <v>1</v>
      </c>
      <c r="BX171" s="43">
        <v>1</v>
      </c>
      <c r="BY171" s="43">
        <v>1</v>
      </c>
      <c r="BZ171" s="43">
        <v>1</v>
      </c>
    </row>
    <row r="172" spans="13:78">
      <c r="M172" t="s">
        <v>35</v>
      </c>
      <c r="T172" t="s">
        <v>36</v>
      </c>
      <c r="AD172" t="s">
        <v>35</v>
      </c>
      <c r="AK172" t="s">
        <v>36</v>
      </c>
      <c r="AU172" t="s">
        <v>35</v>
      </c>
      <c r="BB172" t="s">
        <v>36</v>
      </c>
      <c r="BL172" t="s">
        <v>35</v>
      </c>
      <c r="BS172" t="s">
        <v>36</v>
      </c>
    </row>
    <row r="173" spans="13:78">
      <c r="M173" s="12">
        <v>0</v>
      </c>
      <c r="N173" s="12">
        <v>-1</v>
      </c>
      <c r="O173" s="12">
        <v>0</v>
      </c>
      <c r="P173" s="12">
        <v>-1</v>
      </c>
      <c r="Q173" s="12">
        <v>1</v>
      </c>
      <c r="R173" s="12">
        <v>1</v>
      </c>
      <c r="S173" s="12">
        <v>-1</v>
      </c>
      <c r="T173" s="40">
        <v>-1</v>
      </c>
      <c r="V173" s="46" cm="1">
        <f t="array" ref="V173:AA177">MMULT(M173:T177,V164:AA171)</f>
        <v>-34.102690064302415</v>
      </c>
      <c r="W173" s="46">
        <v>-47.247528950085822</v>
      </c>
      <c r="X173" s="46">
        <v>-24.289302404425072</v>
      </c>
      <c r="Y173" s="46">
        <v>-43.925446031717847</v>
      </c>
      <c r="Z173" s="46">
        <v>3.0191189584593214</v>
      </c>
      <c r="AA173" s="46">
        <v>9.1576424985643001E-2</v>
      </c>
      <c r="AD173" s="12">
        <v>0</v>
      </c>
      <c r="AE173" s="12">
        <v>1</v>
      </c>
      <c r="AF173" s="12">
        <v>1</v>
      </c>
      <c r="AG173" s="12">
        <v>-1</v>
      </c>
      <c r="AH173" s="12">
        <v>0</v>
      </c>
      <c r="AI173" s="12">
        <v>1</v>
      </c>
      <c r="AJ173" s="12">
        <v>1</v>
      </c>
      <c r="AK173" s="40">
        <v>-3</v>
      </c>
      <c r="AM173" s="46" cm="1">
        <f t="array" ref="AM173:AR177">MMULT(AD173:AK177,AM164:AR171)</f>
        <v>30.63114319771897</v>
      </c>
      <c r="AN173" s="46">
        <v>47.04370317574633</v>
      </c>
      <c r="AO173" s="46">
        <v>37.17920999595097</v>
      </c>
      <c r="AP173" s="46">
        <v>42.855711578097349</v>
      </c>
      <c r="AQ173" s="46">
        <v>12.874493218022907</v>
      </c>
      <c r="AR173" s="46">
        <v>6.3643433840218542</v>
      </c>
      <c r="AU173" s="12">
        <v>0</v>
      </c>
      <c r="AV173" s="12">
        <v>-1</v>
      </c>
      <c r="AW173" s="12">
        <v>0</v>
      </c>
      <c r="AX173" s="12">
        <v>0</v>
      </c>
      <c r="AY173" s="12">
        <v>-1</v>
      </c>
      <c r="AZ173" s="12">
        <v>1</v>
      </c>
      <c r="BA173" s="12">
        <v>0</v>
      </c>
      <c r="BB173" s="40">
        <v>3</v>
      </c>
      <c r="BD173" s="46" cm="1">
        <f t="array" ref="BD173:BI177">MMULT(AU173:BB177,BD164:BI171)</f>
        <v>-16.128805312389609</v>
      </c>
      <c r="BE173" s="46">
        <v>-16.995935103653551</v>
      </c>
      <c r="BF173" s="46">
        <v>-1.35877569832315</v>
      </c>
      <c r="BG173" s="46">
        <v>-16.863972831469752</v>
      </c>
      <c r="BH173" s="46">
        <v>3</v>
      </c>
      <c r="BI173" s="46">
        <v>-21.999299910085853</v>
      </c>
      <c r="BL173" s="12">
        <v>0</v>
      </c>
      <c r="BM173" s="12">
        <v>1</v>
      </c>
      <c r="BN173" s="12">
        <v>0</v>
      </c>
      <c r="BO173" s="12">
        <v>0</v>
      </c>
      <c r="BP173" s="12">
        <v>0</v>
      </c>
      <c r="BQ173" s="12">
        <v>1</v>
      </c>
      <c r="BR173" s="12">
        <v>1</v>
      </c>
      <c r="BS173" s="40">
        <v>2</v>
      </c>
      <c r="BU173" s="46" cm="1">
        <f t="array" ref="BU173:BZ177">MMULT(BL173:BS177,BU164:BZ171)</f>
        <v>45.967572198111831</v>
      </c>
      <c r="BV173" s="46">
        <v>58.132439555745492</v>
      </c>
      <c r="BW173" s="46">
        <v>28.8356403363567</v>
      </c>
      <c r="BX173" s="46">
        <v>55.271137391695291</v>
      </c>
      <c r="BY173" s="46">
        <v>2</v>
      </c>
      <c r="BZ173" s="46">
        <v>11.09006677310286</v>
      </c>
    </row>
    <row r="174" spans="13:78">
      <c r="M174" s="12">
        <v>0</v>
      </c>
      <c r="N174" s="12">
        <v>0</v>
      </c>
      <c r="O174" s="12">
        <v>0</v>
      </c>
      <c r="P174" s="12">
        <v>-1</v>
      </c>
      <c r="Q174" s="12">
        <v>1</v>
      </c>
      <c r="R174" s="12">
        <v>1</v>
      </c>
      <c r="S174" s="12">
        <v>0</v>
      </c>
      <c r="T174" s="40">
        <v>2</v>
      </c>
      <c r="V174" s="44">
        <v>6</v>
      </c>
      <c r="W174" s="44">
        <v>6</v>
      </c>
      <c r="X174" s="44">
        <v>10.546337931931632</v>
      </c>
      <c r="Y174" s="44">
        <v>6</v>
      </c>
      <c r="Z174" s="44">
        <v>8.3515531419645193</v>
      </c>
      <c r="AA174" s="44">
        <v>6</v>
      </c>
      <c r="AD174" s="12">
        <v>1</v>
      </c>
      <c r="AE174" s="12">
        <v>0</v>
      </c>
      <c r="AF174" s="12">
        <v>1</v>
      </c>
      <c r="AG174" s="12">
        <v>0</v>
      </c>
      <c r="AH174" s="12">
        <v>-1</v>
      </c>
      <c r="AI174" s="12">
        <v>0</v>
      </c>
      <c r="AJ174" s="12">
        <v>0</v>
      </c>
      <c r="AK174" s="40">
        <v>-2</v>
      </c>
      <c r="AM174" s="44">
        <v>25.708950741097944</v>
      </c>
      <c r="AN174" s="44">
        <v>36.31349592944143</v>
      </c>
      <c r="AO174" s="44">
        <v>28.087844540718908</v>
      </c>
      <c r="AP174" s="44">
        <v>33.775933695643019</v>
      </c>
      <c r="AQ174" s="44">
        <v>-2</v>
      </c>
      <c r="AR174" s="44">
        <v>-7.9997024305106628</v>
      </c>
      <c r="AU174" s="12">
        <v>1</v>
      </c>
      <c r="AV174" s="12">
        <v>-1</v>
      </c>
      <c r="AW174" s="12">
        <v>0</v>
      </c>
      <c r="AX174" s="12">
        <v>1</v>
      </c>
      <c r="AY174" s="12">
        <v>1</v>
      </c>
      <c r="AZ174" s="12">
        <v>1</v>
      </c>
      <c r="BA174" s="12">
        <v>0</v>
      </c>
      <c r="BB174" s="40">
        <v>2</v>
      </c>
      <c r="BD174" s="44">
        <v>31.045696047444331</v>
      </c>
      <c r="BE174" s="44">
        <v>37.581428723222785</v>
      </c>
      <c r="BF174" s="44">
        <v>6.3307111934165174</v>
      </c>
      <c r="BG174" s="44">
        <v>35.920672938484046</v>
      </c>
      <c r="BH174" s="44">
        <v>2</v>
      </c>
      <c r="BI174" s="44">
        <v>2.5440334665884397</v>
      </c>
      <c r="BL174" s="12">
        <v>0</v>
      </c>
      <c r="BM174" s="12">
        <v>0</v>
      </c>
      <c r="BN174" s="12">
        <v>0</v>
      </c>
      <c r="BO174" s="12">
        <v>0</v>
      </c>
      <c r="BP174" s="12">
        <v>1</v>
      </c>
      <c r="BQ174" s="12">
        <v>1</v>
      </c>
      <c r="BR174" s="12">
        <v>1</v>
      </c>
      <c r="BS174" s="40">
        <v>2</v>
      </c>
      <c r="BU174" s="44">
        <v>17.600453539111903</v>
      </c>
      <c r="BV174" s="44">
        <v>14.835788190674942</v>
      </c>
      <c r="BW174" s="44">
        <v>3.0040416487289336</v>
      </c>
      <c r="BX174" s="44">
        <v>15.943780871928741</v>
      </c>
      <c r="BY174" s="44">
        <v>2</v>
      </c>
      <c r="BZ174" s="44">
        <v>11.09006677310286</v>
      </c>
    </row>
    <row r="175" spans="13:78">
      <c r="M175" s="12">
        <v>-1</v>
      </c>
      <c r="N175" s="12">
        <v>-1</v>
      </c>
      <c r="O175" s="12">
        <v>0</v>
      </c>
      <c r="P175" s="12">
        <v>0</v>
      </c>
      <c r="Q175" s="12">
        <v>1</v>
      </c>
      <c r="R175" s="12">
        <v>-1</v>
      </c>
      <c r="S175" s="12">
        <v>0</v>
      </c>
      <c r="T175" s="40">
        <v>-1</v>
      </c>
      <c r="V175" s="44">
        <v>-21.1085985621249</v>
      </c>
      <c r="W175" s="44">
        <v>-34.064612636463664</v>
      </c>
      <c r="X175" s="44">
        <v>-55.522779655545236</v>
      </c>
      <c r="Y175" s="44">
        <v>-30.842226410552765</v>
      </c>
      <c r="Z175" s="44">
        <v>-19.941438683606954</v>
      </c>
      <c r="AA175" s="44">
        <v>15.454155206729222</v>
      </c>
      <c r="AD175" s="12">
        <v>0</v>
      </c>
      <c r="AE175" s="12">
        <v>0</v>
      </c>
      <c r="AF175" s="12">
        <v>1</v>
      </c>
      <c r="AG175" s="12">
        <v>1</v>
      </c>
      <c r="AH175" s="12">
        <v>0</v>
      </c>
      <c r="AI175" s="12">
        <v>0</v>
      </c>
      <c r="AJ175" s="12">
        <v>-1</v>
      </c>
      <c r="AK175" s="40">
        <v>-1</v>
      </c>
      <c r="AM175" s="44">
        <v>65.941355589885774</v>
      </c>
      <c r="AN175" s="44">
        <v>90.74800608949586</v>
      </c>
      <c r="AO175" s="44">
        <v>46.323669364390206</v>
      </c>
      <c r="AP175" s="44">
        <v>84.32253700510492</v>
      </c>
      <c r="AQ175" s="44">
        <v>-15.248036145785065</v>
      </c>
      <c r="AR175" s="44">
        <v>4.5445495643779612</v>
      </c>
      <c r="AU175" s="12">
        <v>-1</v>
      </c>
      <c r="AV175" s="12">
        <v>-1</v>
      </c>
      <c r="AW175" s="12">
        <v>1</v>
      </c>
      <c r="AX175" s="12">
        <v>0</v>
      </c>
      <c r="AY175" s="12">
        <v>1</v>
      </c>
      <c r="AZ175" s="12">
        <v>1</v>
      </c>
      <c r="BA175" s="12">
        <v>0</v>
      </c>
      <c r="BB175" s="40">
        <v>0</v>
      </c>
      <c r="BD175" s="44">
        <v>35.496934803624207</v>
      </c>
      <c r="BE175" s="44">
        <v>51.119659887721056</v>
      </c>
      <c r="BF175" s="44">
        <v>27.972456229309145</v>
      </c>
      <c r="BG175" s="44">
        <v>46.958587384349087</v>
      </c>
      <c r="BH175" s="44">
        <v>0</v>
      </c>
      <c r="BI175" s="44">
        <v>-12.636440268200467</v>
      </c>
      <c r="BL175" s="12">
        <v>0</v>
      </c>
      <c r="BM175" s="12">
        <v>1</v>
      </c>
      <c r="BN175" s="12">
        <v>0</v>
      </c>
      <c r="BO175" s="12">
        <v>1</v>
      </c>
      <c r="BP175" s="12">
        <v>0</v>
      </c>
      <c r="BQ175" s="12">
        <v>-1</v>
      </c>
      <c r="BR175" s="12">
        <v>0</v>
      </c>
      <c r="BS175" s="40">
        <v>0</v>
      </c>
      <c r="BU175" s="44">
        <v>22.973190225631654</v>
      </c>
      <c r="BV175" s="44">
        <v>35.554594426232782</v>
      </c>
      <c r="BW175" s="44">
        <v>25.831598687627768</v>
      </c>
      <c r="BX175" s="44">
        <v>32.023528596378412</v>
      </c>
      <c r="BY175" s="44">
        <v>0</v>
      </c>
      <c r="BZ175" s="44">
        <v>7.5455598278187423</v>
      </c>
    </row>
    <row r="176" spans="13:78">
      <c r="M176" s="12">
        <v>0</v>
      </c>
      <c r="N176" s="12">
        <v>0</v>
      </c>
      <c r="O176" s="12">
        <v>1</v>
      </c>
      <c r="P176" s="12">
        <v>0</v>
      </c>
      <c r="Q176" s="12">
        <v>0</v>
      </c>
      <c r="R176" s="12">
        <v>0</v>
      </c>
      <c r="S176" s="12">
        <v>1</v>
      </c>
      <c r="T176" s="40">
        <v>0</v>
      </c>
      <c r="V176" s="44">
        <v>19.05169229529178</v>
      </c>
      <c r="W176" s="44">
        <v>25.472264185142656</v>
      </c>
      <c r="X176" s="44">
        <v>23.389540831530425</v>
      </c>
      <c r="Y176" s="44">
        <v>23.981695317793779</v>
      </c>
      <c r="Z176" s="44">
        <v>5.5296578389261519</v>
      </c>
      <c r="AA176" s="44">
        <v>0</v>
      </c>
      <c r="AD176" s="12">
        <v>0</v>
      </c>
      <c r="AE176" s="12">
        <v>0</v>
      </c>
      <c r="AF176" s="12">
        <v>1</v>
      </c>
      <c r="AG176" s="12">
        <v>0</v>
      </c>
      <c r="AH176" s="12">
        <v>0</v>
      </c>
      <c r="AI176" s="12">
        <v>0</v>
      </c>
      <c r="AJ176" s="12">
        <v>1</v>
      </c>
      <c r="AK176" s="40">
        <v>-3</v>
      </c>
      <c r="AM176" s="44">
        <v>33.102690064302408</v>
      </c>
      <c r="AN176" s="44">
        <v>46.247528950085822</v>
      </c>
      <c r="AO176" s="44">
        <v>27.835640336356704</v>
      </c>
      <c r="AP176" s="44">
        <v>42.925446031717854</v>
      </c>
      <c r="AQ176" s="44">
        <v>11.248036145785065</v>
      </c>
      <c r="AR176" s="44">
        <v>-3</v>
      </c>
      <c r="AU176" s="12">
        <v>1</v>
      </c>
      <c r="AV176" s="12">
        <v>1</v>
      </c>
      <c r="AW176" s="12">
        <v>0</v>
      </c>
      <c r="AX176" s="12">
        <v>1</v>
      </c>
      <c r="AY176" s="12">
        <v>0</v>
      </c>
      <c r="AZ176" s="12">
        <v>1</v>
      </c>
      <c r="BA176" s="12">
        <v>0</v>
      </c>
      <c r="BB176" s="40">
        <v>1</v>
      </c>
      <c r="BD176" s="44">
        <v>86.275991481737861</v>
      </c>
      <c r="BE176" s="44">
        <v>107.18979543977181</v>
      </c>
      <c r="BF176" s="44">
        <v>22.192665804077585</v>
      </c>
      <c r="BG176" s="44">
        <v>101.78851818124555</v>
      </c>
      <c r="BH176" s="44">
        <v>1</v>
      </c>
      <c r="BI176" s="44">
        <v>53.360289998757501</v>
      </c>
      <c r="BL176" s="12">
        <v>0</v>
      </c>
      <c r="BM176" s="12">
        <v>0</v>
      </c>
      <c r="BN176" s="12">
        <v>0</v>
      </c>
      <c r="BO176" s="12">
        <v>1</v>
      </c>
      <c r="BP176" s="12">
        <v>1</v>
      </c>
      <c r="BQ176" s="12">
        <v>0</v>
      </c>
      <c r="BR176" s="12">
        <v>0</v>
      </c>
      <c r="BS176" s="40">
        <v>0</v>
      </c>
      <c r="BU176" s="44">
        <v>6.4709537004411439</v>
      </c>
      <c r="BV176" s="44">
        <v>3.142853666821908</v>
      </c>
      <c r="BW176" s="44">
        <v>0</v>
      </c>
      <c r="BX176" s="44">
        <v>4.0418634365892929</v>
      </c>
      <c r="BY176" s="44">
        <v>0</v>
      </c>
      <c r="BZ176" s="44">
        <v>14.272171820057537</v>
      </c>
    </row>
    <row r="177" spans="13:78">
      <c r="M177" s="12">
        <v>0</v>
      </c>
      <c r="N177" s="12">
        <v>-1</v>
      </c>
      <c r="O177" s="12">
        <v>1</v>
      </c>
      <c r="P177" s="12">
        <v>1</v>
      </c>
      <c r="Q177" s="12">
        <v>0</v>
      </c>
      <c r="R177" s="12">
        <v>0</v>
      </c>
      <c r="S177" s="12">
        <v>1</v>
      </c>
      <c r="T177" s="40">
        <v>0</v>
      </c>
      <c r="V177" s="45">
        <v>5.1293107285069413</v>
      </c>
      <c r="W177" s="45">
        <v>5.9340330206443888</v>
      </c>
      <c r="X177" s="45">
        <v>1.8480342227431485</v>
      </c>
      <c r="Y177" s="45">
        <v>5.7476018480261377</v>
      </c>
      <c r="Z177" s="45">
        <v>5.5296578389261519</v>
      </c>
      <c r="AA177" s="45">
        <v>12.454155206729222</v>
      </c>
      <c r="AD177" s="12">
        <v>1</v>
      </c>
      <c r="AE177" s="12">
        <v>0</v>
      </c>
      <c r="AF177" s="12">
        <v>-1</v>
      </c>
      <c r="AG177" s="12">
        <v>0</v>
      </c>
      <c r="AH177" s="12">
        <v>2</v>
      </c>
      <c r="AI177" s="12">
        <v>0</v>
      </c>
      <c r="AJ177" s="12">
        <v>0</v>
      </c>
      <c r="AK177" s="40">
        <v>2</v>
      </c>
      <c r="AM177" s="45">
        <v>-12.108497201986044</v>
      </c>
      <c r="AN177" s="45">
        <v>-25.379462908797041</v>
      </c>
      <c r="AO177" s="45">
        <v>-27.340048745081113</v>
      </c>
      <c r="AP177" s="45">
        <v>-21.832152823714274</v>
      </c>
      <c r="AQ177" s="45">
        <v>2</v>
      </c>
      <c r="AR177" s="45">
        <v>15.089769203613523</v>
      </c>
      <c r="AU177" s="12">
        <v>0</v>
      </c>
      <c r="AV177" s="12">
        <v>1</v>
      </c>
      <c r="AW177" s="12">
        <v>1</v>
      </c>
      <c r="AX177" s="12">
        <v>1</v>
      </c>
      <c r="AY177" s="12">
        <v>0</v>
      </c>
      <c r="AZ177" s="12">
        <v>1</v>
      </c>
      <c r="BA177" s="12">
        <v>-1</v>
      </c>
      <c r="BB177" s="40">
        <v>2</v>
      </c>
      <c r="BD177" s="45">
        <v>121.64311014073779</v>
      </c>
      <c r="BE177" s="45">
        <v>157.43732438985762</v>
      </c>
      <c r="BF177" s="45">
        <v>54.028306140434289</v>
      </c>
      <c r="BG177" s="45">
        <v>148.1158747010121</v>
      </c>
      <c r="BH177" s="45">
        <v>-13.159876509614463</v>
      </c>
      <c r="BI177" s="45">
        <v>53.996835217893434</v>
      </c>
      <c r="BL177" s="12">
        <v>-1</v>
      </c>
      <c r="BM177" s="12">
        <v>1</v>
      </c>
      <c r="BN177" s="12">
        <v>0</v>
      </c>
      <c r="BO177" s="12">
        <v>1</v>
      </c>
      <c r="BP177" s="12">
        <v>1</v>
      </c>
      <c r="BQ177" s="12">
        <v>1</v>
      </c>
      <c r="BR177" s="12">
        <v>0</v>
      </c>
      <c r="BS177" s="40">
        <v>1</v>
      </c>
      <c r="BU177" s="45">
        <v>23.993599696174066</v>
      </c>
      <c r="BV177" s="45">
        <v>23.757971518786476</v>
      </c>
      <c r="BW177" s="45">
        <v>8.0913654552320615</v>
      </c>
      <c r="BX177" s="45">
        <v>24.065422190972363</v>
      </c>
      <c r="BY177" s="45">
        <v>1</v>
      </c>
      <c r="BZ177" s="45">
        <v>19.817391459293098</v>
      </c>
    </row>
    <row r="179" spans="13:78">
      <c r="T179" t="s">
        <v>33</v>
      </c>
      <c r="V179" s="46">
        <f>IF(V173&lt;0,0,V173)</f>
        <v>0</v>
      </c>
      <c r="W179" s="46">
        <f t="shared" ref="W179:AA179" si="151">IF(W173&lt;0,0,W173)</f>
        <v>0</v>
      </c>
      <c r="X179" s="46">
        <f t="shared" si="151"/>
        <v>0</v>
      </c>
      <c r="Y179" s="46">
        <f t="shared" si="151"/>
        <v>0</v>
      </c>
      <c r="Z179" s="46">
        <f t="shared" si="151"/>
        <v>3.0191189584593214</v>
      </c>
      <c r="AA179" s="46">
        <f t="shared" si="151"/>
        <v>9.1576424985643001E-2</v>
      </c>
      <c r="AK179" t="s">
        <v>33</v>
      </c>
      <c r="AM179" s="46">
        <f>IF(AM173&lt;0,0,AM173)</f>
        <v>30.63114319771897</v>
      </c>
      <c r="AN179" s="46">
        <f t="shared" ref="AN179:AR179" si="152">IF(AN173&lt;0,0,AN173)</f>
        <v>47.04370317574633</v>
      </c>
      <c r="AO179" s="46">
        <f t="shared" si="152"/>
        <v>37.17920999595097</v>
      </c>
      <c r="AP179" s="46">
        <f t="shared" si="152"/>
        <v>42.855711578097349</v>
      </c>
      <c r="AQ179" s="46">
        <f t="shared" si="152"/>
        <v>12.874493218022907</v>
      </c>
      <c r="AR179" s="46">
        <f t="shared" si="152"/>
        <v>6.3643433840218542</v>
      </c>
      <c r="BB179" t="s">
        <v>33</v>
      </c>
      <c r="BD179" s="46">
        <f>IF(BD173&lt;0,0,BD173)</f>
        <v>0</v>
      </c>
      <c r="BE179" s="46">
        <f t="shared" ref="BE179:BI179" si="153">IF(BE173&lt;0,0,BE173)</f>
        <v>0</v>
      </c>
      <c r="BF179" s="46">
        <f t="shared" si="153"/>
        <v>0</v>
      </c>
      <c r="BG179" s="46">
        <f t="shared" si="153"/>
        <v>0</v>
      </c>
      <c r="BH179" s="46">
        <f t="shared" si="153"/>
        <v>3</v>
      </c>
      <c r="BI179" s="46">
        <f t="shared" si="153"/>
        <v>0</v>
      </c>
      <c r="BS179" t="s">
        <v>33</v>
      </c>
      <c r="BU179" s="46">
        <f>IF(BU173&lt;0,0,BU173)</f>
        <v>45.967572198111831</v>
      </c>
      <c r="BV179" s="46">
        <f t="shared" ref="BV179:BZ179" si="154">IF(BV173&lt;0,0,BV173)</f>
        <v>58.132439555745492</v>
      </c>
      <c r="BW179" s="46">
        <f t="shared" si="154"/>
        <v>28.8356403363567</v>
      </c>
      <c r="BX179" s="46">
        <f t="shared" si="154"/>
        <v>55.271137391695291</v>
      </c>
      <c r="BY179" s="46">
        <f t="shared" si="154"/>
        <v>2</v>
      </c>
      <c r="BZ179" s="46">
        <f t="shared" si="154"/>
        <v>11.09006677310286</v>
      </c>
    </row>
    <row r="180" spans="13:78">
      <c r="V180" s="44">
        <f t="shared" ref="V180:AA180" si="155">IF(V174&lt;0,0,V174)</f>
        <v>6</v>
      </c>
      <c r="W180" s="44">
        <f t="shared" si="155"/>
        <v>6</v>
      </c>
      <c r="X180" s="44">
        <f t="shared" si="155"/>
        <v>10.546337931931632</v>
      </c>
      <c r="Y180" s="44">
        <f t="shared" si="155"/>
        <v>6</v>
      </c>
      <c r="Z180" s="44">
        <f t="shared" si="155"/>
        <v>8.3515531419645193</v>
      </c>
      <c r="AA180" s="44">
        <f t="shared" si="155"/>
        <v>6</v>
      </c>
      <c r="AM180" s="44">
        <f t="shared" ref="AM180:AR180" si="156">IF(AM174&lt;0,0,AM174)</f>
        <v>25.708950741097944</v>
      </c>
      <c r="AN180" s="44">
        <f t="shared" si="156"/>
        <v>36.31349592944143</v>
      </c>
      <c r="AO180" s="44">
        <f t="shared" si="156"/>
        <v>28.087844540718908</v>
      </c>
      <c r="AP180" s="44">
        <f t="shared" si="156"/>
        <v>33.775933695643019</v>
      </c>
      <c r="AQ180" s="44">
        <f t="shared" si="156"/>
        <v>0</v>
      </c>
      <c r="AR180" s="44">
        <f t="shared" si="156"/>
        <v>0</v>
      </c>
      <c r="BD180" s="44">
        <f t="shared" ref="BD180:BI180" si="157">IF(BD174&lt;0,0,BD174)</f>
        <v>31.045696047444331</v>
      </c>
      <c r="BE180" s="44">
        <f t="shared" si="157"/>
        <v>37.581428723222785</v>
      </c>
      <c r="BF180" s="44">
        <f t="shared" si="157"/>
        <v>6.3307111934165174</v>
      </c>
      <c r="BG180" s="44">
        <f t="shared" si="157"/>
        <v>35.920672938484046</v>
      </c>
      <c r="BH180" s="44">
        <f t="shared" si="157"/>
        <v>2</v>
      </c>
      <c r="BI180" s="44">
        <f t="shared" si="157"/>
        <v>2.5440334665884397</v>
      </c>
      <c r="BU180" s="44">
        <f t="shared" ref="BU180:BZ180" si="158">IF(BU174&lt;0,0,BU174)</f>
        <v>17.600453539111903</v>
      </c>
      <c r="BV180" s="44">
        <f t="shared" si="158"/>
        <v>14.835788190674942</v>
      </c>
      <c r="BW180" s="44">
        <f t="shared" si="158"/>
        <v>3.0040416487289336</v>
      </c>
      <c r="BX180" s="44">
        <f t="shared" si="158"/>
        <v>15.943780871928741</v>
      </c>
      <c r="BY180" s="44">
        <f t="shared" si="158"/>
        <v>2</v>
      </c>
      <c r="BZ180" s="44">
        <f t="shared" si="158"/>
        <v>11.09006677310286</v>
      </c>
    </row>
    <row r="181" spans="13:78">
      <c r="V181" s="44">
        <f t="shared" ref="V181:AA181" si="159">IF(V175&lt;0,0,V175)</f>
        <v>0</v>
      </c>
      <c r="W181" s="44">
        <f t="shared" si="159"/>
        <v>0</v>
      </c>
      <c r="X181" s="44">
        <f t="shared" si="159"/>
        <v>0</v>
      </c>
      <c r="Y181" s="44">
        <f t="shared" si="159"/>
        <v>0</v>
      </c>
      <c r="Z181" s="44">
        <f t="shared" si="159"/>
        <v>0</v>
      </c>
      <c r="AA181" s="44">
        <f t="shared" si="159"/>
        <v>15.454155206729222</v>
      </c>
      <c r="AM181" s="44">
        <f t="shared" ref="AM181:AR181" si="160">IF(AM175&lt;0,0,AM175)</f>
        <v>65.941355589885774</v>
      </c>
      <c r="AN181" s="44">
        <f t="shared" si="160"/>
        <v>90.74800608949586</v>
      </c>
      <c r="AO181" s="44">
        <f t="shared" si="160"/>
        <v>46.323669364390206</v>
      </c>
      <c r="AP181" s="44">
        <f t="shared" si="160"/>
        <v>84.32253700510492</v>
      </c>
      <c r="AQ181" s="44">
        <f t="shared" si="160"/>
        <v>0</v>
      </c>
      <c r="AR181" s="44">
        <f t="shared" si="160"/>
        <v>4.5445495643779612</v>
      </c>
      <c r="BD181" s="44">
        <f t="shared" ref="BD181:BI181" si="161">IF(BD175&lt;0,0,BD175)</f>
        <v>35.496934803624207</v>
      </c>
      <c r="BE181" s="44">
        <f t="shared" si="161"/>
        <v>51.119659887721056</v>
      </c>
      <c r="BF181" s="44">
        <f t="shared" si="161"/>
        <v>27.972456229309145</v>
      </c>
      <c r="BG181" s="44">
        <f t="shared" si="161"/>
        <v>46.958587384349087</v>
      </c>
      <c r="BH181" s="44">
        <f t="shared" si="161"/>
        <v>0</v>
      </c>
      <c r="BI181" s="44">
        <f t="shared" si="161"/>
        <v>0</v>
      </c>
      <c r="BU181" s="44">
        <f t="shared" ref="BU181:BZ181" si="162">IF(BU175&lt;0,0,BU175)</f>
        <v>22.973190225631654</v>
      </c>
      <c r="BV181" s="44">
        <f t="shared" si="162"/>
        <v>35.554594426232782</v>
      </c>
      <c r="BW181" s="44">
        <f t="shared" si="162"/>
        <v>25.831598687627768</v>
      </c>
      <c r="BX181" s="44">
        <f t="shared" si="162"/>
        <v>32.023528596378412</v>
      </c>
      <c r="BY181" s="44">
        <f t="shared" si="162"/>
        <v>0</v>
      </c>
      <c r="BZ181" s="44">
        <f t="shared" si="162"/>
        <v>7.5455598278187423</v>
      </c>
    </row>
    <row r="182" spans="13:78">
      <c r="V182" s="44">
        <f t="shared" ref="V182:AA182" si="163">IF(V176&lt;0,0,V176)</f>
        <v>19.05169229529178</v>
      </c>
      <c r="W182" s="44">
        <f t="shared" si="163"/>
        <v>25.472264185142656</v>
      </c>
      <c r="X182" s="44">
        <f t="shared" si="163"/>
        <v>23.389540831530425</v>
      </c>
      <c r="Y182" s="44">
        <f t="shared" si="163"/>
        <v>23.981695317793779</v>
      </c>
      <c r="Z182" s="44">
        <f t="shared" si="163"/>
        <v>5.5296578389261519</v>
      </c>
      <c r="AA182" s="44">
        <f t="shared" si="163"/>
        <v>0</v>
      </c>
      <c r="AM182" s="44">
        <f t="shared" ref="AM182:AR182" si="164">IF(AM176&lt;0,0,AM176)</f>
        <v>33.102690064302408</v>
      </c>
      <c r="AN182" s="44">
        <f t="shared" si="164"/>
        <v>46.247528950085822</v>
      </c>
      <c r="AO182" s="44">
        <f t="shared" si="164"/>
        <v>27.835640336356704</v>
      </c>
      <c r="AP182" s="44">
        <f t="shared" si="164"/>
        <v>42.925446031717854</v>
      </c>
      <c r="AQ182" s="44">
        <f t="shared" si="164"/>
        <v>11.248036145785065</v>
      </c>
      <c r="AR182" s="44">
        <f t="shared" si="164"/>
        <v>0</v>
      </c>
      <c r="BD182" s="44">
        <f t="shared" ref="BD182:BI182" si="165">IF(BD176&lt;0,0,BD176)</f>
        <v>86.275991481737861</v>
      </c>
      <c r="BE182" s="44">
        <f t="shared" si="165"/>
        <v>107.18979543977181</v>
      </c>
      <c r="BF182" s="44">
        <f t="shared" si="165"/>
        <v>22.192665804077585</v>
      </c>
      <c r="BG182" s="44">
        <f t="shared" si="165"/>
        <v>101.78851818124555</v>
      </c>
      <c r="BH182" s="44">
        <f t="shared" si="165"/>
        <v>1</v>
      </c>
      <c r="BI182" s="44">
        <f t="shared" si="165"/>
        <v>53.360289998757501</v>
      </c>
      <c r="BU182" s="44">
        <f t="shared" ref="BU182:BZ182" si="166">IF(BU176&lt;0,0,BU176)</f>
        <v>6.4709537004411439</v>
      </c>
      <c r="BV182" s="44">
        <f t="shared" si="166"/>
        <v>3.142853666821908</v>
      </c>
      <c r="BW182" s="44">
        <f t="shared" si="166"/>
        <v>0</v>
      </c>
      <c r="BX182" s="44">
        <f t="shared" si="166"/>
        <v>4.0418634365892929</v>
      </c>
      <c r="BY182" s="44">
        <f t="shared" si="166"/>
        <v>0</v>
      </c>
      <c r="BZ182" s="44">
        <f t="shared" si="166"/>
        <v>14.272171820057537</v>
      </c>
    </row>
    <row r="183" spans="13:78">
      <c r="V183" s="45">
        <f t="shared" ref="V183:AA183" si="167">IF(V177&lt;0,0,V177)</f>
        <v>5.1293107285069413</v>
      </c>
      <c r="W183" s="45">
        <f t="shared" si="167"/>
        <v>5.9340330206443888</v>
      </c>
      <c r="X183" s="45">
        <f t="shared" si="167"/>
        <v>1.8480342227431485</v>
      </c>
      <c r="Y183" s="45">
        <f t="shared" si="167"/>
        <v>5.7476018480261377</v>
      </c>
      <c r="Z183" s="45">
        <f t="shared" si="167"/>
        <v>5.5296578389261519</v>
      </c>
      <c r="AA183" s="45">
        <f t="shared" si="167"/>
        <v>12.454155206729222</v>
      </c>
      <c r="AM183" s="45">
        <f t="shared" ref="AM183:AR183" si="168">IF(AM177&lt;0,0,AM177)</f>
        <v>0</v>
      </c>
      <c r="AN183" s="45">
        <f t="shared" si="168"/>
        <v>0</v>
      </c>
      <c r="AO183" s="45">
        <f t="shared" si="168"/>
        <v>0</v>
      </c>
      <c r="AP183" s="45">
        <f t="shared" si="168"/>
        <v>0</v>
      </c>
      <c r="AQ183" s="45">
        <f t="shared" si="168"/>
        <v>2</v>
      </c>
      <c r="AR183" s="45">
        <f t="shared" si="168"/>
        <v>15.089769203613523</v>
      </c>
      <c r="BD183" s="45">
        <f t="shared" ref="BD183:BI183" si="169">IF(BD177&lt;0,0,BD177)</f>
        <v>121.64311014073779</v>
      </c>
      <c r="BE183" s="45">
        <f t="shared" si="169"/>
        <v>157.43732438985762</v>
      </c>
      <c r="BF183" s="45">
        <f t="shared" si="169"/>
        <v>54.028306140434289</v>
      </c>
      <c r="BG183" s="45">
        <f t="shared" si="169"/>
        <v>148.1158747010121</v>
      </c>
      <c r="BH183" s="45">
        <f t="shared" si="169"/>
        <v>0</v>
      </c>
      <c r="BI183" s="45">
        <f t="shared" si="169"/>
        <v>53.996835217893434</v>
      </c>
      <c r="BU183" s="45">
        <f t="shared" ref="BU183:BZ183" si="170">IF(BU177&lt;0,0,BU177)</f>
        <v>23.993599696174066</v>
      </c>
      <c r="BV183" s="45">
        <f t="shared" si="170"/>
        <v>23.757971518786476</v>
      </c>
      <c r="BW183" s="45">
        <f t="shared" si="170"/>
        <v>8.0913654552320615</v>
      </c>
      <c r="BX183" s="45">
        <f t="shared" si="170"/>
        <v>24.065422190972363</v>
      </c>
      <c r="BY183" s="45">
        <f t="shared" si="170"/>
        <v>1</v>
      </c>
      <c r="BZ183" s="45">
        <f t="shared" si="170"/>
        <v>19.817391459293098</v>
      </c>
    </row>
    <row r="184" spans="13:78">
      <c r="T184" t="s">
        <v>30</v>
      </c>
      <c r="AK184" t="s">
        <v>30</v>
      </c>
      <c r="BB184" t="s">
        <v>30</v>
      </c>
      <c r="BS184" t="s">
        <v>30</v>
      </c>
    </row>
    <row r="185" spans="13:78">
      <c r="U185" t="str">
        <f>"E"&amp;O153</f>
        <v>E1</v>
      </c>
      <c r="V185" s="48">
        <f>AS147</f>
        <v>1</v>
      </c>
      <c r="W185" s="48">
        <f t="shared" ref="W185:AA185" si="171">AT147</f>
        <v>1</v>
      </c>
      <c r="X185" s="48">
        <f t="shared" si="171"/>
        <v>1</v>
      </c>
      <c r="Y185" s="48">
        <f t="shared" si="171"/>
        <v>1</v>
      </c>
      <c r="Z185" s="48">
        <f t="shared" si="171"/>
        <v>1</v>
      </c>
      <c r="AA185" s="48">
        <f t="shared" si="171"/>
        <v>1</v>
      </c>
      <c r="AL185" t="str">
        <f>"E"&amp;AF153</f>
        <v>E2</v>
      </c>
      <c r="AM185" s="48">
        <f>AS148</f>
        <v>0.99999999995709743</v>
      </c>
      <c r="AN185" s="48">
        <f t="shared" ref="AN185:AR185" si="172">AT148</f>
        <v>0.99999999999999534</v>
      </c>
      <c r="AO185" s="48">
        <f t="shared" si="172"/>
        <v>0.99999999997387112</v>
      </c>
      <c r="AP185" s="48">
        <f t="shared" si="172"/>
        <v>0.99999999999995626</v>
      </c>
      <c r="AQ185" s="48">
        <f t="shared" si="172"/>
        <v>0.27496888619151405</v>
      </c>
      <c r="AR185" s="48">
        <f t="shared" si="172"/>
        <v>0</v>
      </c>
      <c r="BC185" t="str">
        <f>"E"&amp;AW153</f>
        <v>E3</v>
      </c>
      <c r="BD185" s="48">
        <f>AS149</f>
        <v>0.99999998969847803</v>
      </c>
      <c r="BE185" s="48">
        <f t="shared" ref="BE185:BI185" si="173">AT149</f>
        <v>0.99999999910438908</v>
      </c>
      <c r="BF185" s="48">
        <f t="shared" si="173"/>
        <v>0.97534124678757328</v>
      </c>
      <c r="BG185" s="48">
        <f t="shared" si="173"/>
        <v>0.99999999854088784</v>
      </c>
      <c r="BH185" s="48">
        <f t="shared" si="173"/>
        <v>0</v>
      </c>
      <c r="BI185" s="48">
        <f t="shared" si="173"/>
        <v>0.99999908855988395</v>
      </c>
      <c r="BT185" t="str">
        <f>"E"&amp;BN153</f>
        <v>E4</v>
      </c>
      <c r="BU185" s="48">
        <f>AS150</f>
        <v>0</v>
      </c>
      <c r="BV185" s="48">
        <f t="shared" ref="BV185:BZ185" si="174">AT150</f>
        <v>0</v>
      </c>
      <c r="BW185" s="48">
        <f t="shared" si="174"/>
        <v>0</v>
      </c>
      <c r="BX185" s="48">
        <f t="shared" si="174"/>
        <v>0</v>
      </c>
      <c r="BY185" s="48">
        <f t="shared" si="174"/>
        <v>1.7799714071811636E-3</v>
      </c>
      <c r="BZ185" s="48">
        <f t="shared" si="174"/>
        <v>0.90263589871815397</v>
      </c>
    </row>
    <row r="187" spans="13:78">
      <c r="V187" s="46" cm="1">
        <f t="array" ref="V187:AA191">V179:AA183*V185:AA185</f>
        <v>0</v>
      </c>
      <c r="W187" s="46">
        <v>0</v>
      </c>
      <c r="X187" s="46">
        <v>0</v>
      </c>
      <c r="Y187" s="46">
        <v>0</v>
      </c>
      <c r="Z187" s="46">
        <v>3.0191189584593214</v>
      </c>
      <c r="AA187" s="46">
        <v>9.1576424985643001E-2</v>
      </c>
      <c r="AM187" s="46" cm="1">
        <f t="array" ref="AM187:AR191">AM179:AR183*AM185:AR185</f>
        <v>30.631143196404814</v>
      </c>
      <c r="AN187" s="46">
        <v>47.04370317574611</v>
      </c>
      <c r="AO187" s="46">
        <v>37.179209994979516</v>
      </c>
      <c r="AP187" s="46">
        <v>42.855711578095473</v>
      </c>
      <c r="AQ187" s="46">
        <v>3.5400850604399605</v>
      </c>
      <c r="AR187" s="46">
        <v>0</v>
      </c>
      <c r="BD187" s="46" cm="1">
        <f t="array" ref="BD187:BI191">BD179:BI183*BD185:BI185</f>
        <v>0</v>
      </c>
      <c r="BE187" s="46">
        <v>0</v>
      </c>
      <c r="BF187" s="46">
        <v>0</v>
      </c>
      <c r="BG187" s="46">
        <v>0</v>
      </c>
      <c r="BH187" s="46">
        <v>0</v>
      </c>
      <c r="BI187" s="46">
        <v>0</v>
      </c>
      <c r="BU187" s="46" cm="1">
        <f t="array" ref="BU187:BZ191">BU179:BZ183*BU185:BZ185</f>
        <v>0</v>
      </c>
      <c r="BV187" s="46">
        <v>0</v>
      </c>
      <c r="BW187" s="46">
        <v>0</v>
      </c>
      <c r="BX187" s="46">
        <v>0</v>
      </c>
      <c r="BY187" s="46">
        <v>3.5599428143623271E-3</v>
      </c>
      <c r="BZ187" s="46">
        <v>10.010292388584038</v>
      </c>
    </row>
    <row r="188" spans="13:78">
      <c r="V188" s="44">
        <v>6</v>
      </c>
      <c r="W188" s="44">
        <v>6</v>
      </c>
      <c r="X188" s="44">
        <v>10.546337931931632</v>
      </c>
      <c r="Y188" s="44">
        <v>6</v>
      </c>
      <c r="Z188" s="44">
        <v>8.3515531419645193</v>
      </c>
      <c r="AA188" s="44">
        <v>6</v>
      </c>
      <c r="AM188" s="44">
        <v>25.708950739994965</v>
      </c>
      <c r="AN188" s="44">
        <v>36.31349592944126</v>
      </c>
      <c r="AO188" s="44">
        <v>28.087844539985003</v>
      </c>
      <c r="AP188" s="44">
        <v>33.775933695641541</v>
      </c>
      <c r="AQ188" s="44">
        <v>0</v>
      </c>
      <c r="AR188" s="44">
        <v>0</v>
      </c>
      <c r="BD188" s="44">
        <v>31.045695727626409</v>
      </c>
      <c r="BE188" s="44">
        <v>37.581428689564447</v>
      </c>
      <c r="BF188" s="44">
        <v>6.174603748438912</v>
      </c>
      <c r="BG188" s="44">
        <v>35.920672886071756</v>
      </c>
      <c r="BH188" s="44">
        <v>0</v>
      </c>
      <c r="BI188" s="44">
        <v>2.5440311478542816</v>
      </c>
      <c r="BU188" s="44">
        <v>0</v>
      </c>
      <c r="BV188" s="44">
        <v>0</v>
      </c>
      <c r="BW188" s="44">
        <v>0</v>
      </c>
      <c r="BX188" s="44">
        <v>0</v>
      </c>
      <c r="BY188" s="44">
        <v>3.5599428143623271E-3</v>
      </c>
      <c r="BZ188" s="44">
        <v>10.010292388584038</v>
      </c>
    </row>
    <row r="189" spans="13:78">
      <c r="V189" s="44">
        <v>0</v>
      </c>
      <c r="W189" s="44">
        <v>0</v>
      </c>
      <c r="X189" s="44">
        <v>0</v>
      </c>
      <c r="Y189" s="44">
        <v>0</v>
      </c>
      <c r="Z189" s="44">
        <v>0</v>
      </c>
      <c r="AA189" s="44">
        <v>15.454155206729222</v>
      </c>
      <c r="AM189" s="44">
        <v>65.941355587056719</v>
      </c>
      <c r="AN189" s="44">
        <v>90.748006089495433</v>
      </c>
      <c r="AO189" s="44">
        <v>46.323669363179818</v>
      </c>
      <c r="AP189" s="44">
        <v>84.322537005101225</v>
      </c>
      <c r="AQ189" s="44">
        <v>0</v>
      </c>
      <c r="AR189" s="44">
        <v>0</v>
      </c>
      <c r="BD189" s="44">
        <v>35.496934437951751</v>
      </c>
      <c r="BE189" s="44">
        <v>51.119659841937732</v>
      </c>
      <c r="BF189" s="44">
        <v>27.282690334405203</v>
      </c>
      <c r="BG189" s="44">
        <v>46.958587315831238</v>
      </c>
      <c r="BH189" s="44">
        <v>0</v>
      </c>
      <c r="BI189" s="44">
        <v>0</v>
      </c>
      <c r="BU189" s="44">
        <v>0</v>
      </c>
      <c r="BV189" s="44">
        <v>0</v>
      </c>
      <c r="BW189" s="44">
        <v>0</v>
      </c>
      <c r="BX189" s="44">
        <v>0</v>
      </c>
      <c r="BY189" s="44">
        <v>0</v>
      </c>
      <c r="BZ189" s="44">
        <v>6.81089317651477</v>
      </c>
    </row>
    <row r="190" spans="13:78">
      <c r="V190" s="44">
        <v>19.05169229529178</v>
      </c>
      <c r="W190" s="44">
        <v>25.472264185142656</v>
      </c>
      <c r="X190" s="44">
        <v>23.389540831530425</v>
      </c>
      <c r="Y190" s="44">
        <v>23.981695317793779</v>
      </c>
      <c r="Z190" s="44">
        <v>5.5296578389261519</v>
      </c>
      <c r="AA190" s="44">
        <v>0</v>
      </c>
      <c r="AM190" s="44">
        <v>33.102690062882218</v>
      </c>
      <c r="AN190" s="44">
        <v>46.247528950085609</v>
      </c>
      <c r="AO190" s="44">
        <v>27.835640335629389</v>
      </c>
      <c r="AP190" s="44">
        <v>42.925446031715978</v>
      </c>
      <c r="AQ190" s="44">
        <v>3.0928599708484099</v>
      </c>
      <c r="AR190" s="44">
        <v>0</v>
      </c>
      <c r="BD190" s="44">
        <v>86.275990592963836</v>
      </c>
      <c r="BE190" s="44">
        <v>107.18979534377146</v>
      </c>
      <c r="BF190" s="44">
        <v>21.645422334888973</v>
      </c>
      <c r="BG190" s="44">
        <v>101.78851803272468</v>
      </c>
      <c r="BH190" s="44">
        <v>0</v>
      </c>
      <c r="BI190" s="44">
        <v>53.360241364048591</v>
      </c>
      <c r="BU190" s="44">
        <v>0</v>
      </c>
      <c r="BV190" s="44">
        <v>0</v>
      </c>
      <c r="BW190" s="44">
        <v>0</v>
      </c>
      <c r="BX190" s="44">
        <v>0</v>
      </c>
      <c r="BY190" s="44">
        <v>0</v>
      </c>
      <c r="BZ190" s="44">
        <v>12.882574637457546</v>
      </c>
    </row>
    <row r="191" spans="13:78">
      <c r="V191" s="45">
        <v>5.1293107285069413</v>
      </c>
      <c r="W191" s="45">
        <v>5.9340330206443888</v>
      </c>
      <c r="X191" s="45">
        <v>1.8480342227431485</v>
      </c>
      <c r="Y191" s="45">
        <v>5.7476018480261377</v>
      </c>
      <c r="Z191" s="45">
        <v>5.5296578389261519</v>
      </c>
      <c r="AA191" s="45">
        <v>12.454155206729222</v>
      </c>
      <c r="AM191" s="45">
        <v>0</v>
      </c>
      <c r="AN191" s="45">
        <v>0</v>
      </c>
      <c r="AO191" s="45">
        <v>0</v>
      </c>
      <c r="AP191" s="45">
        <v>0</v>
      </c>
      <c r="AQ191" s="45">
        <v>0.5499377723830281</v>
      </c>
      <c r="AR191" s="45">
        <v>0</v>
      </c>
      <c r="BD191" s="45">
        <v>121.64310888762861</v>
      </c>
      <c r="BE191" s="45">
        <v>157.43732424885505</v>
      </c>
      <c r="BF191" s="45">
        <v>52.69603547283188</v>
      </c>
      <c r="BG191" s="45">
        <v>148.11587448489442</v>
      </c>
      <c r="BH191" s="45">
        <v>0</v>
      </c>
      <c r="BI191" s="45">
        <v>53.996786003011678</v>
      </c>
      <c r="BU191" s="45">
        <v>0</v>
      </c>
      <c r="BV191" s="45">
        <v>0</v>
      </c>
      <c r="BW191" s="45">
        <v>0</v>
      </c>
      <c r="BX191" s="45">
        <v>0</v>
      </c>
      <c r="BY191" s="45">
        <v>1.7799714071811636E-3</v>
      </c>
      <c r="BZ191" s="45">
        <v>17.887888950108493</v>
      </c>
    </row>
    <row r="195" spans="22:32">
      <c r="V195" s="29" cm="1">
        <f t="array" ref="V195:AA199">_xlfn.ANCHORARRAY(V187)+_xlfn.ANCHORARRAY(AM187)+_xlfn.ANCHORARRAY(BD187)+_xlfn.ANCHORARRAY(BU187)</f>
        <v>30.631143196404814</v>
      </c>
      <c r="W195" s="29">
        <v>47.04370317574611</v>
      </c>
      <c r="X195" s="29">
        <v>37.179209994979516</v>
      </c>
      <c r="Y195" s="29">
        <v>42.855711578095473</v>
      </c>
      <c r="Z195" s="29">
        <v>6.5627639617136442</v>
      </c>
      <c r="AA195" s="29">
        <v>10.101868813569681</v>
      </c>
    </row>
    <row r="196" spans="22:32">
      <c r="V196" s="30">
        <v>62.75464646762137</v>
      </c>
      <c r="W196" s="30">
        <v>79.894924619005707</v>
      </c>
      <c r="X196" s="30">
        <v>44.808786220355543</v>
      </c>
      <c r="Y196" s="30">
        <v>75.696606581713297</v>
      </c>
      <c r="Z196" s="30">
        <v>8.3551130847788819</v>
      </c>
      <c r="AA196" s="30">
        <v>18.554323536438318</v>
      </c>
      <c r="AF196" t="s">
        <v>75</v>
      </c>
    </row>
    <row r="197" spans="22:32">
      <c r="V197" s="30">
        <v>101.43829002500847</v>
      </c>
      <c r="W197" s="30">
        <v>141.86766593143318</v>
      </c>
      <c r="X197" s="30">
        <v>73.60635969758502</v>
      </c>
      <c r="Y197" s="30">
        <v>131.28112432093246</v>
      </c>
      <c r="Z197" s="30">
        <v>0</v>
      </c>
      <c r="AA197" s="30">
        <v>22.265048383243993</v>
      </c>
      <c r="AF197" t="s">
        <v>74</v>
      </c>
    </row>
    <row r="198" spans="22:32">
      <c r="V198" s="30">
        <v>138.43037295113783</v>
      </c>
      <c r="W198" s="30">
        <v>178.90958847899972</v>
      </c>
      <c r="X198" s="30">
        <v>72.870603502048795</v>
      </c>
      <c r="Y198" s="30">
        <v>168.69565938223445</v>
      </c>
      <c r="Z198" s="30">
        <v>8.6225178097745623</v>
      </c>
      <c r="AA198" s="30">
        <v>66.242816001506142</v>
      </c>
    </row>
    <row r="199" spans="22:32">
      <c r="V199" s="31">
        <v>126.77241961613555</v>
      </c>
      <c r="W199" s="31">
        <v>163.37135726949944</v>
      </c>
      <c r="X199" s="31">
        <v>54.544069695575033</v>
      </c>
      <c r="Y199" s="31">
        <v>153.86347633292056</v>
      </c>
      <c r="Z199" s="31">
        <v>6.0813755827163618</v>
      </c>
      <c r="AA199" s="31">
        <v>84.338830159849394</v>
      </c>
    </row>
  </sheetData>
  <conditionalFormatting sqref="V185:AA185">
    <cfRule type="cellIs" dxfId="4" priority="4" stopIfTrue="1" operator="equal">
      <formula>0</formula>
    </cfRule>
  </conditionalFormatting>
  <conditionalFormatting sqref="AM185:AR185">
    <cfRule type="cellIs" dxfId="3" priority="3" stopIfTrue="1" operator="equal">
      <formula>0</formula>
    </cfRule>
  </conditionalFormatting>
  <conditionalFormatting sqref="AS147:AX150">
    <cfRule type="cellIs" dxfId="2" priority="5" stopIfTrue="1" operator="equal">
      <formula>0</formula>
    </cfRule>
  </conditionalFormatting>
  <conditionalFormatting sqref="BD185:BI185">
    <cfRule type="cellIs" dxfId="1" priority="1" stopIfTrue="1" operator="equal">
      <formula>0</formula>
    </cfRule>
  </conditionalFormatting>
  <conditionalFormatting sqref="BU185:BZ185">
    <cfRule type="cellIs" dxfId="0" priority="2" stopIfTrue="1" operator="equal">
      <formula>0</formula>
    </cfRule>
  </conditionalFormatting>
  <pageMargins left="0.7" right="0.7" top="0.75" bottom="0.75" header="0.3" footer="0.3"/>
  <headerFooter>
    <oddFooter>&amp;C_x000D_&amp;1#&amp;"Calibri"&amp;10&amp;K000000 SLB-Private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9DF89-D0B1-BE46-B80C-B091A591A44A}">
  <dimension ref="A1:CV100"/>
  <sheetViews>
    <sheetView workbookViewId="0">
      <selection activeCell="D3" sqref="D3:G7"/>
    </sheetView>
  </sheetViews>
  <sheetFormatPr defaultColWidth="4.875" defaultRowHeight="15.75"/>
  <sheetData>
    <row r="1" spans="1:100">
      <c r="A1">
        <v>1</v>
      </c>
      <c r="B1">
        <v>0</v>
      </c>
      <c r="C1">
        <v>0</v>
      </c>
      <c r="D1">
        <v>-1</v>
      </c>
      <c r="E1">
        <v>1</v>
      </c>
      <c r="F1">
        <v>1</v>
      </c>
      <c r="G1">
        <v>1</v>
      </c>
      <c r="H1">
        <v>1</v>
      </c>
      <c r="I1">
        <v>0</v>
      </c>
      <c r="J1">
        <v>1</v>
      </c>
      <c r="K1">
        <v>1</v>
      </c>
      <c r="L1">
        <v>0</v>
      </c>
      <c r="M1">
        <v>-1</v>
      </c>
      <c r="N1">
        <v>1</v>
      </c>
      <c r="O1">
        <v>0</v>
      </c>
      <c r="P1">
        <v>0</v>
      </c>
      <c r="Q1">
        <v>1</v>
      </c>
      <c r="R1">
        <v>0</v>
      </c>
      <c r="S1">
        <v>1</v>
      </c>
      <c r="T1">
        <v>1</v>
      </c>
      <c r="U1">
        <v>0</v>
      </c>
      <c r="V1">
        <v>0</v>
      </c>
      <c r="W1">
        <v>0</v>
      </c>
      <c r="X1">
        <v>1</v>
      </c>
      <c r="Y1">
        <v>-1</v>
      </c>
      <c r="Z1">
        <v>-1</v>
      </c>
      <c r="AA1">
        <v>1</v>
      </c>
      <c r="AB1">
        <v>0</v>
      </c>
      <c r="AC1">
        <v>1</v>
      </c>
      <c r="AD1">
        <v>-1</v>
      </c>
      <c r="AE1">
        <v>0</v>
      </c>
      <c r="AF1">
        <v>0</v>
      </c>
      <c r="AG1">
        <v>1</v>
      </c>
      <c r="AH1">
        <v>1</v>
      </c>
      <c r="AI1">
        <v>-1</v>
      </c>
      <c r="AJ1">
        <v>1</v>
      </c>
      <c r="AK1">
        <v>0</v>
      </c>
      <c r="AL1">
        <v>0</v>
      </c>
      <c r="AM1">
        <v>-1</v>
      </c>
      <c r="AN1">
        <v>0</v>
      </c>
      <c r="AO1">
        <v>0</v>
      </c>
      <c r="AP1">
        <v>1</v>
      </c>
      <c r="AQ1">
        <v>0</v>
      </c>
      <c r="AR1">
        <v>0</v>
      </c>
      <c r="AS1">
        <v>0</v>
      </c>
      <c r="AT1">
        <v>-1</v>
      </c>
      <c r="AU1">
        <v>1</v>
      </c>
      <c r="AV1">
        <v>0</v>
      </c>
      <c r="AW1">
        <v>-1</v>
      </c>
      <c r="AX1">
        <v>0</v>
      </c>
      <c r="AY1">
        <v>0</v>
      </c>
      <c r="AZ1">
        <v>0</v>
      </c>
      <c r="BA1">
        <v>0</v>
      </c>
      <c r="BB1">
        <v>1</v>
      </c>
      <c r="BC1">
        <v>-1</v>
      </c>
      <c r="BD1">
        <v>1</v>
      </c>
      <c r="BE1">
        <v>1</v>
      </c>
      <c r="BF1">
        <v>-1</v>
      </c>
      <c r="BG1">
        <v>0</v>
      </c>
      <c r="BH1">
        <v>-1</v>
      </c>
      <c r="BI1">
        <v>1</v>
      </c>
      <c r="BJ1">
        <v>1</v>
      </c>
      <c r="BK1">
        <v>1</v>
      </c>
      <c r="BL1">
        <v>1</v>
      </c>
      <c r="BM1">
        <v>0</v>
      </c>
      <c r="BN1">
        <v>1</v>
      </c>
      <c r="BO1">
        <v>0</v>
      </c>
      <c r="BP1">
        <v>0</v>
      </c>
      <c r="BQ1">
        <v>0</v>
      </c>
      <c r="BR1">
        <v>-1</v>
      </c>
      <c r="BS1">
        <v>1</v>
      </c>
      <c r="BT1">
        <v>1</v>
      </c>
      <c r="BU1">
        <v>0</v>
      </c>
      <c r="BV1">
        <v>1</v>
      </c>
      <c r="BW1">
        <v>1</v>
      </c>
      <c r="BX1">
        <v>0</v>
      </c>
      <c r="BY1">
        <v>1</v>
      </c>
      <c r="BZ1">
        <v>0</v>
      </c>
      <c r="CA1">
        <v>0</v>
      </c>
      <c r="CB1">
        <v>0</v>
      </c>
      <c r="CC1">
        <v>1</v>
      </c>
      <c r="CD1">
        <v>1</v>
      </c>
      <c r="CE1">
        <v>1</v>
      </c>
      <c r="CF1">
        <v>0</v>
      </c>
      <c r="CG1">
        <v>0</v>
      </c>
      <c r="CH1">
        <v>-1</v>
      </c>
      <c r="CI1">
        <v>0</v>
      </c>
      <c r="CJ1">
        <v>1</v>
      </c>
      <c r="CK1">
        <v>1</v>
      </c>
      <c r="CL1">
        <v>-1</v>
      </c>
      <c r="CM1">
        <v>1</v>
      </c>
      <c r="CN1">
        <v>0</v>
      </c>
      <c r="CO1">
        <v>1</v>
      </c>
      <c r="CP1">
        <v>1</v>
      </c>
      <c r="CQ1">
        <v>-1</v>
      </c>
      <c r="CR1">
        <v>0</v>
      </c>
      <c r="CS1">
        <v>1</v>
      </c>
      <c r="CT1">
        <v>-1</v>
      </c>
      <c r="CU1">
        <v>0</v>
      </c>
      <c r="CV1">
        <v>0</v>
      </c>
    </row>
    <row r="2" spans="1:100">
      <c r="A2">
        <v>1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  <c r="H2">
        <v>-1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1</v>
      </c>
      <c r="AA2">
        <v>1</v>
      </c>
      <c r="AB2">
        <v>-1</v>
      </c>
      <c r="AC2">
        <v>0</v>
      </c>
      <c r="AD2">
        <v>0</v>
      </c>
      <c r="AE2">
        <v>0</v>
      </c>
      <c r="AF2">
        <v>0</v>
      </c>
      <c r="AG2">
        <v>-1</v>
      </c>
      <c r="AH2">
        <v>1</v>
      </c>
      <c r="AI2">
        <v>1</v>
      </c>
      <c r="AJ2">
        <v>0</v>
      </c>
      <c r="AK2">
        <v>0</v>
      </c>
      <c r="AL2">
        <v>1</v>
      </c>
      <c r="AM2">
        <v>0</v>
      </c>
      <c r="AN2">
        <v>1</v>
      </c>
      <c r="AO2">
        <v>1</v>
      </c>
      <c r="AP2">
        <v>1</v>
      </c>
      <c r="AQ2">
        <v>1</v>
      </c>
      <c r="AR2">
        <v>1</v>
      </c>
      <c r="AS2">
        <v>0</v>
      </c>
      <c r="AT2">
        <v>0</v>
      </c>
      <c r="AU2">
        <v>0</v>
      </c>
      <c r="AV2">
        <v>0</v>
      </c>
      <c r="AW2">
        <v>1</v>
      </c>
      <c r="AX2">
        <v>-1</v>
      </c>
      <c r="AY2">
        <v>1</v>
      </c>
      <c r="AZ2">
        <v>0</v>
      </c>
      <c r="BA2">
        <v>1</v>
      </c>
      <c r="BB2">
        <v>0</v>
      </c>
      <c r="BC2">
        <v>0</v>
      </c>
      <c r="BD2">
        <v>1</v>
      </c>
      <c r="BE2">
        <v>1</v>
      </c>
      <c r="BF2">
        <v>1</v>
      </c>
      <c r="BG2">
        <v>0</v>
      </c>
      <c r="BH2">
        <v>1</v>
      </c>
      <c r="BI2">
        <v>0</v>
      </c>
      <c r="BJ2">
        <v>1</v>
      </c>
      <c r="BK2">
        <v>1</v>
      </c>
      <c r="BL2">
        <v>0</v>
      </c>
      <c r="BM2">
        <v>1</v>
      </c>
      <c r="BN2">
        <v>0</v>
      </c>
      <c r="BO2">
        <v>0</v>
      </c>
      <c r="BP2">
        <v>0</v>
      </c>
      <c r="BQ2">
        <v>1</v>
      </c>
      <c r="BR2">
        <v>1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-1</v>
      </c>
      <c r="CD2">
        <v>1</v>
      </c>
      <c r="CE2">
        <v>0</v>
      </c>
      <c r="CF2">
        <v>1</v>
      </c>
      <c r="CG2">
        <v>0</v>
      </c>
      <c r="CH2">
        <v>1</v>
      </c>
      <c r="CI2">
        <v>0</v>
      </c>
      <c r="CJ2">
        <v>1</v>
      </c>
      <c r="CK2">
        <v>1</v>
      </c>
      <c r="CL2">
        <v>0</v>
      </c>
      <c r="CM2">
        <v>0</v>
      </c>
      <c r="CN2">
        <v>1</v>
      </c>
      <c r="CO2">
        <v>0</v>
      </c>
      <c r="CP2">
        <v>1</v>
      </c>
      <c r="CQ2">
        <v>0</v>
      </c>
      <c r="CR2">
        <v>0</v>
      </c>
      <c r="CS2">
        <v>1</v>
      </c>
      <c r="CT2">
        <v>1</v>
      </c>
      <c r="CU2">
        <v>0</v>
      </c>
      <c r="CV2">
        <v>1</v>
      </c>
    </row>
    <row r="3" spans="1:100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-1</v>
      </c>
      <c r="H3">
        <v>0</v>
      </c>
      <c r="I3">
        <v>0</v>
      </c>
      <c r="J3">
        <v>0</v>
      </c>
      <c r="K3">
        <v>1</v>
      </c>
      <c r="L3">
        <v>-1</v>
      </c>
      <c r="M3">
        <v>1</v>
      </c>
      <c r="N3">
        <v>1</v>
      </c>
      <c r="O3">
        <v>1</v>
      </c>
      <c r="P3">
        <v>0</v>
      </c>
      <c r="Q3">
        <v>1</v>
      </c>
      <c r="R3">
        <v>1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0</v>
      </c>
      <c r="Z3">
        <v>1</v>
      </c>
      <c r="AA3">
        <v>0</v>
      </c>
      <c r="AB3">
        <v>-1</v>
      </c>
      <c r="AC3">
        <v>1</v>
      </c>
      <c r="AD3">
        <v>-1</v>
      </c>
      <c r="AE3">
        <v>1</v>
      </c>
      <c r="AF3">
        <v>0</v>
      </c>
      <c r="AG3">
        <v>1</v>
      </c>
      <c r="AH3">
        <v>0</v>
      </c>
      <c r="AI3">
        <v>1</v>
      </c>
      <c r="AJ3">
        <v>1</v>
      </c>
      <c r="AK3">
        <v>0</v>
      </c>
      <c r="AL3">
        <v>1</v>
      </c>
      <c r="AM3">
        <v>0</v>
      </c>
      <c r="AN3">
        <v>1</v>
      </c>
      <c r="AO3">
        <v>1</v>
      </c>
      <c r="AP3">
        <v>0</v>
      </c>
      <c r="AQ3">
        <v>0</v>
      </c>
      <c r="AR3">
        <v>-1</v>
      </c>
      <c r="AS3">
        <v>0</v>
      </c>
      <c r="AT3">
        <v>0</v>
      </c>
      <c r="AU3">
        <v>1</v>
      </c>
      <c r="AV3">
        <v>1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1</v>
      </c>
      <c r="BI3">
        <v>0</v>
      </c>
      <c r="BJ3">
        <v>1</v>
      </c>
      <c r="BK3">
        <v>0</v>
      </c>
      <c r="BL3">
        <v>-1</v>
      </c>
      <c r="BM3">
        <v>-1</v>
      </c>
      <c r="BN3">
        <v>1</v>
      </c>
      <c r="BO3">
        <v>0</v>
      </c>
      <c r="BP3">
        <v>1</v>
      </c>
      <c r="BQ3">
        <v>1</v>
      </c>
      <c r="BR3">
        <v>1</v>
      </c>
      <c r="BS3">
        <v>0</v>
      </c>
      <c r="BT3">
        <v>-1</v>
      </c>
      <c r="BU3">
        <v>1</v>
      </c>
      <c r="BV3">
        <v>1</v>
      </c>
      <c r="BW3">
        <v>1</v>
      </c>
      <c r="BX3">
        <v>0</v>
      </c>
      <c r="BY3">
        <v>0</v>
      </c>
      <c r="BZ3">
        <v>1</v>
      </c>
      <c r="CA3">
        <v>0</v>
      </c>
      <c r="CB3">
        <v>0</v>
      </c>
      <c r="CC3">
        <v>0</v>
      </c>
      <c r="CD3">
        <v>0</v>
      </c>
      <c r="CE3">
        <v>1</v>
      </c>
      <c r="CF3">
        <v>1</v>
      </c>
      <c r="CG3">
        <v>0</v>
      </c>
      <c r="CH3">
        <v>0</v>
      </c>
      <c r="CI3">
        <v>1</v>
      </c>
      <c r="CJ3">
        <v>0</v>
      </c>
      <c r="CK3">
        <v>0</v>
      </c>
      <c r="CL3">
        <v>-1</v>
      </c>
      <c r="CM3">
        <v>0</v>
      </c>
      <c r="CN3">
        <v>0</v>
      </c>
      <c r="CO3">
        <v>0</v>
      </c>
      <c r="CP3">
        <v>0</v>
      </c>
      <c r="CQ3">
        <v>0</v>
      </c>
      <c r="CR3">
        <v>1</v>
      </c>
      <c r="CS3">
        <v>0</v>
      </c>
      <c r="CT3">
        <v>0</v>
      </c>
      <c r="CU3">
        <v>1</v>
      </c>
      <c r="CV3">
        <v>1</v>
      </c>
    </row>
    <row r="4" spans="1:100">
      <c r="A4">
        <v>1</v>
      </c>
      <c r="B4">
        <v>0</v>
      </c>
      <c r="C4">
        <v>1</v>
      </c>
      <c r="D4">
        <v>0</v>
      </c>
      <c r="E4">
        <v>0</v>
      </c>
      <c r="F4">
        <v>0</v>
      </c>
      <c r="G4">
        <v>1</v>
      </c>
      <c r="H4">
        <v>1</v>
      </c>
      <c r="I4">
        <v>0</v>
      </c>
      <c r="J4">
        <v>1</v>
      </c>
      <c r="K4">
        <v>1</v>
      </c>
      <c r="L4">
        <v>1</v>
      </c>
      <c r="M4">
        <v>1</v>
      </c>
      <c r="N4">
        <v>0</v>
      </c>
      <c r="O4">
        <v>0</v>
      </c>
      <c r="P4">
        <v>0</v>
      </c>
      <c r="Q4">
        <v>-1</v>
      </c>
      <c r="R4">
        <v>0</v>
      </c>
      <c r="S4">
        <v>0</v>
      </c>
      <c r="T4">
        <v>-1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1</v>
      </c>
      <c r="AB4">
        <v>1</v>
      </c>
      <c r="AC4">
        <v>0</v>
      </c>
      <c r="AD4">
        <v>-1</v>
      </c>
      <c r="AE4">
        <v>1</v>
      </c>
      <c r="AF4">
        <v>0</v>
      </c>
      <c r="AG4">
        <v>0</v>
      </c>
      <c r="AH4">
        <v>1</v>
      </c>
      <c r="AI4">
        <v>1</v>
      </c>
      <c r="AJ4">
        <v>0</v>
      </c>
      <c r="AK4">
        <v>0</v>
      </c>
      <c r="AL4">
        <v>0</v>
      </c>
      <c r="AM4">
        <v>1</v>
      </c>
      <c r="AN4">
        <v>1</v>
      </c>
      <c r="AO4">
        <v>0</v>
      </c>
      <c r="AP4">
        <v>1</v>
      </c>
      <c r="AQ4">
        <v>0</v>
      </c>
      <c r="AR4">
        <v>1</v>
      </c>
      <c r="AS4">
        <v>1</v>
      </c>
      <c r="AT4">
        <v>1</v>
      </c>
      <c r="AU4">
        <v>0</v>
      </c>
      <c r="AV4">
        <v>1</v>
      </c>
      <c r="AW4">
        <v>0</v>
      </c>
      <c r="AX4">
        <v>1</v>
      </c>
      <c r="AY4">
        <v>1</v>
      </c>
      <c r="AZ4">
        <v>-1</v>
      </c>
      <c r="BA4">
        <v>0</v>
      </c>
      <c r="BB4">
        <v>-1</v>
      </c>
      <c r="BC4">
        <v>1</v>
      </c>
      <c r="BD4">
        <v>0</v>
      </c>
      <c r="BE4">
        <v>1</v>
      </c>
      <c r="BF4">
        <v>0</v>
      </c>
      <c r="BG4">
        <v>1</v>
      </c>
      <c r="BH4">
        <v>1</v>
      </c>
      <c r="BI4">
        <v>0</v>
      </c>
      <c r="BJ4">
        <v>1</v>
      </c>
      <c r="BK4">
        <v>0</v>
      </c>
      <c r="BL4">
        <v>1</v>
      </c>
      <c r="BM4">
        <v>0</v>
      </c>
      <c r="BN4">
        <v>1</v>
      </c>
      <c r="BO4">
        <v>1</v>
      </c>
      <c r="BP4">
        <v>0</v>
      </c>
      <c r="BQ4">
        <v>-1</v>
      </c>
      <c r="BR4">
        <v>-1</v>
      </c>
      <c r="BS4">
        <v>0</v>
      </c>
      <c r="BT4">
        <v>0</v>
      </c>
      <c r="BU4">
        <v>0</v>
      </c>
      <c r="BV4">
        <v>0</v>
      </c>
      <c r="BW4">
        <v>0</v>
      </c>
      <c r="BX4">
        <v>1</v>
      </c>
      <c r="BY4">
        <v>0</v>
      </c>
      <c r="BZ4">
        <v>0</v>
      </c>
      <c r="CA4">
        <v>1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1</v>
      </c>
      <c r="CJ4">
        <v>-1</v>
      </c>
      <c r="CK4">
        <v>0</v>
      </c>
      <c r="CL4">
        <v>0</v>
      </c>
      <c r="CM4">
        <v>0</v>
      </c>
      <c r="CN4">
        <v>0</v>
      </c>
      <c r="CO4">
        <v>0</v>
      </c>
      <c r="CP4">
        <v>1</v>
      </c>
      <c r="CQ4">
        <v>1</v>
      </c>
      <c r="CR4">
        <v>1</v>
      </c>
      <c r="CS4">
        <v>0</v>
      </c>
      <c r="CT4">
        <v>0</v>
      </c>
      <c r="CU4">
        <v>-1</v>
      </c>
      <c r="CV4">
        <v>0</v>
      </c>
    </row>
    <row r="5" spans="1:100">
      <c r="A5">
        <v>1</v>
      </c>
      <c r="B5">
        <v>-1</v>
      </c>
      <c r="C5">
        <v>0</v>
      </c>
      <c r="D5">
        <v>1</v>
      </c>
      <c r="E5">
        <v>0</v>
      </c>
      <c r="F5">
        <v>1</v>
      </c>
      <c r="G5">
        <v>1</v>
      </c>
      <c r="H5">
        <v>0</v>
      </c>
      <c r="I5">
        <v>0</v>
      </c>
      <c r="J5">
        <v>0</v>
      </c>
      <c r="K5">
        <v>1</v>
      </c>
      <c r="L5">
        <v>0</v>
      </c>
      <c r="M5">
        <v>-1</v>
      </c>
      <c r="N5">
        <v>1</v>
      </c>
      <c r="O5">
        <v>1</v>
      </c>
      <c r="P5">
        <v>1</v>
      </c>
      <c r="Q5">
        <v>0</v>
      </c>
      <c r="R5">
        <v>1</v>
      </c>
      <c r="S5">
        <v>0</v>
      </c>
      <c r="T5">
        <v>1</v>
      </c>
      <c r="U5">
        <v>0</v>
      </c>
      <c r="V5">
        <v>0</v>
      </c>
      <c r="W5">
        <v>1</v>
      </c>
      <c r="X5">
        <v>1</v>
      </c>
      <c r="Y5">
        <v>0</v>
      </c>
      <c r="Z5">
        <v>0</v>
      </c>
      <c r="AA5">
        <v>1</v>
      </c>
      <c r="AB5">
        <v>0</v>
      </c>
      <c r="AC5">
        <v>1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>
        <v>0</v>
      </c>
      <c r="AO5">
        <v>1</v>
      </c>
      <c r="AP5">
        <v>-1</v>
      </c>
      <c r="AQ5">
        <v>-1</v>
      </c>
      <c r="AR5">
        <v>0</v>
      </c>
      <c r="AS5">
        <v>1</v>
      </c>
      <c r="AT5">
        <v>1</v>
      </c>
      <c r="AU5">
        <v>0</v>
      </c>
      <c r="AV5">
        <v>0</v>
      </c>
      <c r="AW5">
        <v>0</v>
      </c>
      <c r="AX5">
        <v>1</v>
      </c>
      <c r="AY5">
        <v>0</v>
      </c>
      <c r="AZ5">
        <v>1</v>
      </c>
      <c r="BA5">
        <v>0</v>
      </c>
      <c r="BB5">
        <v>0</v>
      </c>
      <c r="BC5">
        <v>1</v>
      </c>
      <c r="BD5">
        <v>0</v>
      </c>
      <c r="BE5">
        <v>1</v>
      </c>
      <c r="BF5">
        <v>-1</v>
      </c>
      <c r="BG5">
        <v>1</v>
      </c>
      <c r="BH5">
        <v>1</v>
      </c>
      <c r="BI5">
        <v>1</v>
      </c>
      <c r="BJ5">
        <v>0</v>
      </c>
      <c r="BK5">
        <v>0</v>
      </c>
      <c r="BL5">
        <v>0</v>
      </c>
      <c r="BM5">
        <v>0</v>
      </c>
      <c r="BN5">
        <v>0</v>
      </c>
      <c r="BO5">
        <v>1</v>
      </c>
      <c r="BP5">
        <v>1</v>
      </c>
      <c r="BQ5">
        <v>1</v>
      </c>
      <c r="BR5">
        <v>0</v>
      </c>
      <c r="BS5">
        <v>1</v>
      </c>
      <c r="BT5">
        <v>1</v>
      </c>
      <c r="BU5">
        <v>1</v>
      </c>
      <c r="BV5">
        <v>-1</v>
      </c>
      <c r="BW5">
        <v>-1</v>
      </c>
      <c r="BX5">
        <v>1</v>
      </c>
      <c r="BY5">
        <v>1</v>
      </c>
      <c r="BZ5">
        <v>0</v>
      </c>
      <c r="CA5">
        <v>1</v>
      </c>
      <c r="CB5">
        <v>0</v>
      </c>
      <c r="CC5">
        <v>0</v>
      </c>
      <c r="CD5">
        <v>0</v>
      </c>
      <c r="CE5">
        <v>0</v>
      </c>
      <c r="CF5">
        <v>1</v>
      </c>
      <c r="CG5">
        <v>0</v>
      </c>
      <c r="CH5">
        <v>1</v>
      </c>
      <c r="CI5">
        <v>1</v>
      </c>
      <c r="CJ5">
        <v>-1</v>
      </c>
      <c r="CK5">
        <v>0</v>
      </c>
      <c r="CL5">
        <v>0</v>
      </c>
      <c r="CM5">
        <v>0</v>
      </c>
      <c r="CN5">
        <v>1</v>
      </c>
      <c r="CO5">
        <v>0</v>
      </c>
      <c r="CP5">
        <v>0</v>
      </c>
      <c r="CQ5">
        <v>0</v>
      </c>
      <c r="CR5">
        <v>0</v>
      </c>
      <c r="CS5">
        <v>1</v>
      </c>
      <c r="CT5">
        <v>1</v>
      </c>
      <c r="CU5">
        <v>1</v>
      </c>
      <c r="CV5">
        <v>0</v>
      </c>
    </row>
    <row r="6" spans="1:100">
      <c r="A6">
        <v>0</v>
      </c>
      <c r="B6">
        <v>-1</v>
      </c>
      <c r="C6">
        <v>1</v>
      </c>
      <c r="D6">
        <v>0</v>
      </c>
      <c r="E6">
        <v>0</v>
      </c>
      <c r="F6">
        <v>-1</v>
      </c>
      <c r="G6">
        <v>0</v>
      </c>
      <c r="H6">
        <v>0</v>
      </c>
      <c r="I6">
        <v>-1</v>
      </c>
      <c r="J6">
        <v>0</v>
      </c>
      <c r="K6">
        <v>0</v>
      </c>
      <c r="L6">
        <v>-1</v>
      </c>
      <c r="M6">
        <v>0</v>
      </c>
      <c r="N6">
        <v>1</v>
      </c>
      <c r="O6">
        <v>1</v>
      </c>
      <c r="P6">
        <v>1</v>
      </c>
      <c r="Q6">
        <v>0</v>
      </c>
      <c r="R6">
        <v>1</v>
      </c>
      <c r="S6">
        <v>1</v>
      </c>
      <c r="T6">
        <v>0</v>
      </c>
      <c r="U6">
        <v>0</v>
      </c>
      <c r="V6">
        <v>0</v>
      </c>
      <c r="W6">
        <v>0</v>
      </c>
      <c r="X6">
        <v>1</v>
      </c>
      <c r="Y6">
        <v>1</v>
      </c>
      <c r="Z6">
        <v>1</v>
      </c>
      <c r="AA6">
        <v>1</v>
      </c>
      <c r="AB6">
        <v>1</v>
      </c>
      <c r="AC6">
        <v>-1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-1</v>
      </c>
      <c r="AP6">
        <v>0</v>
      </c>
      <c r="AQ6">
        <v>0</v>
      </c>
      <c r="AR6">
        <v>1</v>
      </c>
      <c r="AS6">
        <v>1</v>
      </c>
      <c r="AT6">
        <v>1</v>
      </c>
      <c r="AU6">
        <v>1</v>
      </c>
      <c r="AV6">
        <v>0</v>
      </c>
      <c r="AW6">
        <v>0</v>
      </c>
      <c r="AX6">
        <v>1</v>
      </c>
      <c r="AY6">
        <v>1</v>
      </c>
      <c r="AZ6">
        <v>-1</v>
      </c>
      <c r="BA6">
        <v>0</v>
      </c>
      <c r="BB6">
        <v>0</v>
      </c>
      <c r="BC6">
        <v>1</v>
      </c>
      <c r="BD6">
        <v>0</v>
      </c>
      <c r="BE6">
        <v>1</v>
      </c>
      <c r="BF6">
        <v>0</v>
      </c>
      <c r="BG6">
        <v>0</v>
      </c>
      <c r="BH6">
        <v>0</v>
      </c>
      <c r="BI6">
        <v>0</v>
      </c>
      <c r="BJ6">
        <v>1</v>
      </c>
      <c r="BK6">
        <v>0</v>
      </c>
      <c r="BL6">
        <v>1</v>
      </c>
      <c r="BM6">
        <v>0</v>
      </c>
      <c r="BN6">
        <v>0</v>
      </c>
      <c r="BO6">
        <v>0</v>
      </c>
      <c r="BP6">
        <v>1</v>
      </c>
      <c r="BQ6">
        <v>1</v>
      </c>
      <c r="BR6">
        <v>0</v>
      </c>
      <c r="BS6">
        <v>-1</v>
      </c>
      <c r="BT6">
        <v>1</v>
      </c>
      <c r="BU6">
        <v>0</v>
      </c>
      <c r="BV6">
        <v>-1</v>
      </c>
      <c r="BW6">
        <v>0</v>
      </c>
      <c r="BX6">
        <v>-1</v>
      </c>
      <c r="BY6">
        <v>1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1</v>
      </c>
      <c r="CG6">
        <v>0</v>
      </c>
      <c r="CH6">
        <v>0</v>
      </c>
      <c r="CI6">
        <v>-1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1</v>
      </c>
      <c r="CS6">
        <v>0</v>
      </c>
      <c r="CT6">
        <v>0</v>
      </c>
      <c r="CU6">
        <v>0</v>
      </c>
      <c r="CV6">
        <v>0</v>
      </c>
    </row>
    <row r="7" spans="1:100">
      <c r="A7">
        <v>0</v>
      </c>
      <c r="B7">
        <v>0</v>
      </c>
      <c r="C7">
        <v>1</v>
      </c>
      <c r="D7">
        <v>1</v>
      </c>
      <c r="E7">
        <v>0</v>
      </c>
      <c r="F7">
        <v>1</v>
      </c>
      <c r="G7">
        <v>0</v>
      </c>
      <c r="H7">
        <v>0</v>
      </c>
      <c r="I7">
        <v>0</v>
      </c>
      <c r="J7">
        <v>1</v>
      </c>
      <c r="K7">
        <v>1</v>
      </c>
      <c r="L7">
        <v>1</v>
      </c>
      <c r="M7">
        <v>-1</v>
      </c>
      <c r="N7">
        <v>-1</v>
      </c>
      <c r="O7">
        <v>1</v>
      </c>
      <c r="P7">
        <v>1</v>
      </c>
      <c r="Q7">
        <v>0</v>
      </c>
      <c r="R7">
        <v>-1</v>
      </c>
      <c r="S7">
        <v>-1</v>
      </c>
      <c r="T7">
        <v>1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1</v>
      </c>
      <c r="AC7">
        <v>1</v>
      </c>
      <c r="AD7">
        <v>0</v>
      </c>
      <c r="AE7">
        <v>1</v>
      </c>
      <c r="AF7">
        <v>0</v>
      </c>
      <c r="AG7">
        <v>0</v>
      </c>
      <c r="AH7">
        <v>-1</v>
      </c>
      <c r="AI7">
        <v>1</v>
      </c>
      <c r="AJ7">
        <v>0</v>
      </c>
      <c r="AK7">
        <v>0</v>
      </c>
      <c r="AL7">
        <v>-1</v>
      </c>
      <c r="AM7">
        <v>-1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1</v>
      </c>
      <c r="BA7">
        <v>-1</v>
      </c>
      <c r="BB7">
        <v>1</v>
      </c>
      <c r="BC7">
        <v>0</v>
      </c>
      <c r="BD7">
        <v>1</v>
      </c>
      <c r="BE7">
        <v>1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1</v>
      </c>
      <c r="BM7">
        <v>-1</v>
      </c>
      <c r="BN7">
        <v>-1</v>
      </c>
      <c r="BO7">
        <v>1</v>
      </c>
      <c r="BP7">
        <v>1</v>
      </c>
      <c r="BQ7">
        <v>-1</v>
      </c>
      <c r="BR7">
        <v>0</v>
      </c>
      <c r="BS7">
        <v>1</v>
      </c>
      <c r="BT7">
        <v>-1</v>
      </c>
      <c r="BU7">
        <v>0</v>
      </c>
      <c r="BV7">
        <v>1</v>
      </c>
      <c r="BW7">
        <v>1</v>
      </c>
      <c r="BX7">
        <v>0</v>
      </c>
      <c r="BY7">
        <v>0</v>
      </c>
      <c r="BZ7">
        <v>1</v>
      </c>
      <c r="CA7">
        <v>0</v>
      </c>
      <c r="CB7">
        <v>0</v>
      </c>
      <c r="CC7">
        <v>0</v>
      </c>
      <c r="CD7">
        <v>1</v>
      </c>
      <c r="CE7">
        <v>0</v>
      </c>
      <c r="CF7">
        <v>1</v>
      </c>
      <c r="CG7">
        <v>0</v>
      </c>
      <c r="CH7">
        <v>0</v>
      </c>
      <c r="CI7">
        <v>-1</v>
      </c>
      <c r="CJ7">
        <v>1</v>
      </c>
      <c r="CK7">
        <v>0</v>
      </c>
      <c r="CL7">
        <v>1</v>
      </c>
      <c r="CM7">
        <v>0</v>
      </c>
      <c r="CN7">
        <v>1</v>
      </c>
      <c r="CO7">
        <v>1</v>
      </c>
      <c r="CP7">
        <v>0</v>
      </c>
      <c r="CQ7">
        <v>1</v>
      </c>
      <c r="CR7">
        <v>-1</v>
      </c>
      <c r="CS7">
        <v>1</v>
      </c>
      <c r="CT7">
        <v>1</v>
      </c>
      <c r="CU7">
        <v>-1</v>
      </c>
      <c r="CV7">
        <v>1</v>
      </c>
    </row>
    <row r="8" spans="1:100">
      <c r="A8">
        <v>1</v>
      </c>
      <c r="B8">
        <v>0</v>
      </c>
      <c r="C8">
        <v>0</v>
      </c>
      <c r="D8">
        <v>1</v>
      </c>
      <c r="E8">
        <v>0</v>
      </c>
      <c r="F8">
        <v>1</v>
      </c>
      <c r="G8">
        <v>0</v>
      </c>
      <c r="H8">
        <v>-1</v>
      </c>
      <c r="I8">
        <v>0</v>
      </c>
      <c r="J8">
        <v>1</v>
      </c>
      <c r="K8">
        <v>0</v>
      </c>
      <c r="L8">
        <v>0</v>
      </c>
      <c r="M8">
        <v>0</v>
      </c>
      <c r="N8">
        <v>-1</v>
      </c>
      <c r="O8">
        <v>0</v>
      </c>
      <c r="P8">
        <v>1</v>
      </c>
      <c r="Q8">
        <v>1</v>
      </c>
      <c r="R8">
        <v>0</v>
      </c>
      <c r="S8">
        <v>1</v>
      </c>
      <c r="T8">
        <v>0</v>
      </c>
      <c r="U8">
        <v>1</v>
      </c>
      <c r="V8">
        <v>1</v>
      </c>
      <c r="W8">
        <v>0</v>
      </c>
      <c r="X8">
        <v>0</v>
      </c>
      <c r="Y8">
        <v>-1</v>
      </c>
      <c r="Z8">
        <v>1</v>
      </c>
      <c r="AA8">
        <v>1</v>
      </c>
      <c r="AB8">
        <v>0</v>
      </c>
      <c r="AC8">
        <v>0</v>
      </c>
      <c r="AD8">
        <v>1</v>
      </c>
      <c r="AE8">
        <v>0</v>
      </c>
      <c r="AF8">
        <v>-1</v>
      </c>
      <c r="AG8">
        <v>1</v>
      </c>
      <c r="AH8">
        <v>-1</v>
      </c>
      <c r="AI8">
        <v>1</v>
      </c>
      <c r="AJ8">
        <v>1</v>
      </c>
      <c r="AK8">
        <v>1</v>
      </c>
      <c r="AL8">
        <v>1</v>
      </c>
      <c r="AM8">
        <v>1</v>
      </c>
      <c r="AN8">
        <v>0</v>
      </c>
      <c r="AO8">
        <v>0</v>
      </c>
      <c r="AP8">
        <v>-1</v>
      </c>
      <c r="AQ8">
        <v>0</v>
      </c>
      <c r="AR8">
        <v>0</v>
      </c>
      <c r="AS8">
        <v>0</v>
      </c>
      <c r="AT8">
        <v>-1</v>
      </c>
      <c r="AU8">
        <v>1</v>
      </c>
      <c r="AV8">
        <v>1</v>
      </c>
      <c r="AW8">
        <v>1</v>
      </c>
      <c r="AX8">
        <v>0</v>
      </c>
      <c r="AY8">
        <v>0</v>
      </c>
      <c r="AZ8">
        <v>1</v>
      </c>
      <c r="BA8">
        <v>0</v>
      </c>
      <c r="BB8">
        <v>1</v>
      </c>
      <c r="BC8">
        <v>1</v>
      </c>
      <c r="BD8">
        <v>-1</v>
      </c>
      <c r="BE8">
        <v>-1</v>
      </c>
      <c r="BF8">
        <v>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1</v>
      </c>
      <c r="BR8">
        <v>1</v>
      </c>
      <c r="BS8">
        <v>0</v>
      </c>
      <c r="BT8">
        <v>1</v>
      </c>
      <c r="BU8">
        <v>0</v>
      </c>
      <c r="BV8">
        <v>1</v>
      </c>
      <c r="BW8">
        <v>1</v>
      </c>
      <c r="BX8">
        <v>0</v>
      </c>
      <c r="BY8">
        <v>-1</v>
      </c>
      <c r="BZ8">
        <v>1</v>
      </c>
      <c r="CA8">
        <v>-1</v>
      </c>
      <c r="CB8">
        <v>0</v>
      </c>
      <c r="CC8">
        <v>0</v>
      </c>
      <c r="CD8">
        <v>1</v>
      </c>
      <c r="CE8">
        <v>0</v>
      </c>
      <c r="CF8">
        <v>1</v>
      </c>
      <c r="CG8">
        <v>0</v>
      </c>
      <c r="CH8">
        <v>1</v>
      </c>
      <c r="CI8">
        <v>0</v>
      </c>
      <c r="CJ8">
        <v>0</v>
      </c>
      <c r="CK8">
        <v>0</v>
      </c>
      <c r="CL8">
        <v>1</v>
      </c>
      <c r="CM8">
        <v>0</v>
      </c>
      <c r="CN8">
        <v>1</v>
      </c>
      <c r="CO8">
        <v>1</v>
      </c>
      <c r="CP8">
        <v>0</v>
      </c>
      <c r="CQ8">
        <v>0</v>
      </c>
      <c r="CR8">
        <v>0</v>
      </c>
      <c r="CS8">
        <v>0</v>
      </c>
      <c r="CT8">
        <v>0</v>
      </c>
      <c r="CU8">
        <v>-1</v>
      </c>
      <c r="CV8">
        <v>0</v>
      </c>
    </row>
    <row r="9" spans="1:100">
      <c r="A9">
        <v>-1</v>
      </c>
      <c r="B9">
        <v>1</v>
      </c>
      <c r="C9">
        <v>0</v>
      </c>
      <c r="D9">
        <v>1</v>
      </c>
      <c r="E9">
        <v>0</v>
      </c>
      <c r="F9">
        <v>1</v>
      </c>
      <c r="G9">
        <v>0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-1</v>
      </c>
      <c r="T9">
        <v>-1</v>
      </c>
      <c r="U9">
        <v>0</v>
      </c>
      <c r="V9">
        <v>1</v>
      </c>
      <c r="W9">
        <v>1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-1</v>
      </c>
      <c r="AF9">
        <v>-1</v>
      </c>
      <c r="AG9">
        <v>0</v>
      </c>
      <c r="AH9">
        <v>0</v>
      </c>
      <c r="AI9">
        <v>1</v>
      </c>
      <c r="AJ9">
        <v>-1</v>
      </c>
      <c r="AK9">
        <v>0</v>
      </c>
      <c r="AL9">
        <v>1</v>
      </c>
      <c r="AM9">
        <v>0</v>
      </c>
      <c r="AN9">
        <v>0</v>
      </c>
      <c r="AO9">
        <v>1</v>
      </c>
      <c r="AP9">
        <v>0</v>
      </c>
      <c r="AQ9">
        <v>0</v>
      </c>
      <c r="AR9">
        <v>1</v>
      </c>
      <c r="AS9">
        <v>0</v>
      </c>
      <c r="AT9">
        <v>1</v>
      </c>
      <c r="AU9">
        <v>1</v>
      </c>
      <c r="AV9">
        <v>0</v>
      </c>
      <c r="AW9">
        <v>-1</v>
      </c>
      <c r="AX9">
        <v>0</v>
      </c>
      <c r="AY9">
        <v>1</v>
      </c>
      <c r="AZ9">
        <v>1</v>
      </c>
      <c r="BA9">
        <v>0</v>
      </c>
      <c r="BB9">
        <v>0</v>
      </c>
      <c r="BC9">
        <v>1</v>
      </c>
      <c r="BD9">
        <v>1</v>
      </c>
      <c r="BE9">
        <v>0</v>
      </c>
      <c r="BF9">
        <v>1</v>
      </c>
      <c r="BG9">
        <v>-1</v>
      </c>
      <c r="BH9">
        <v>1</v>
      </c>
      <c r="BI9">
        <v>1</v>
      </c>
      <c r="BJ9">
        <v>1</v>
      </c>
      <c r="BK9">
        <v>0</v>
      </c>
      <c r="BL9">
        <v>0</v>
      </c>
      <c r="BM9">
        <v>1</v>
      </c>
      <c r="BN9">
        <v>-1</v>
      </c>
      <c r="BO9">
        <v>0</v>
      </c>
      <c r="BP9">
        <v>0</v>
      </c>
      <c r="BQ9">
        <v>1</v>
      </c>
      <c r="BR9">
        <v>0</v>
      </c>
      <c r="BS9">
        <v>0</v>
      </c>
      <c r="BT9">
        <v>0</v>
      </c>
      <c r="BU9">
        <v>1</v>
      </c>
      <c r="BV9">
        <v>1</v>
      </c>
      <c r="BW9">
        <v>-1</v>
      </c>
      <c r="BX9">
        <v>1</v>
      </c>
      <c r="BY9">
        <v>1</v>
      </c>
      <c r="BZ9">
        <v>0</v>
      </c>
      <c r="CA9">
        <v>1</v>
      </c>
      <c r="CB9">
        <v>0</v>
      </c>
      <c r="CC9">
        <v>1</v>
      </c>
      <c r="CD9">
        <v>0</v>
      </c>
      <c r="CE9">
        <v>1</v>
      </c>
      <c r="CF9">
        <v>0</v>
      </c>
      <c r="CG9">
        <v>-1</v>
      </c>
      <c r="CH9">
        <v>0</v>
      </c>
      <c r="CI9">
        <v>0</v>
      </c>
      <c r="CJ9">
        <v>1</v>
      </c>
      <c r="CK9">
        <v>0</v>
      </c>
      <c r="CL9">
        <v>0</v>
      </c>
      <c r="CM9">
        <v>1</v>
      </c>
      <c r="CN9">
        <v>1</v>
      </c>
      <c r="CO9">
        <v>1</v>
      </c>
      <c r="CP9">
        <v>0</v>
      </c>
      <c r="CQ9">
        <v>0</v>
      </c>
      <c r="CR9">
        <v>-1</v>
      </c>
      <c r="CS9">
        <v>0</v>
      </c>
      <c r="CT9">
        <v>-1</v>
      </c>
      <c r="CU9">
        <v>1</v>
      </c>
      <c r="CV9">
        <v>0</v>
      </c>
    </row>
    <row r="10" spans="1:100">
      <c r="A10">
        <v>0</v>
      </c>
      <c r="B10">
        <v>1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-1</v>
      </c>
      <c r="J10">
        <v>0</v>
      </c>
      <c r="K10">
        <v>1</v>
      </c>
      <c r="L10">
        <v>0</v>
      </c>
      <c r="M10">
        <v>0</v>
      </c>
      <c r="N10">
        <v>1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-1</v>
      </c>
      <c r="V10">
        <v>1</v>
      </c>
      <c r="W10">
        <v>0</v>
      </c>
      <c r="X10">
        <v>0</v>
      </c>
      <c r="Y10">
        <v>-1</v>
      </c>
      <c r="Z10">
        <v>0</v>
      </c>
      <c r="AA10">
        <v>1</v>
      </c>
      <c r="AB10">
        <v>1</v>
      </c>
      <c r="AC10">
        <v>0</v>
      </c>
      <c r="AD10">
        <v>0</v>
      </c>
      <c r="AE10">
        <v>1</v>
      </c>
      <c r="AF10">
        <v>0</v>
      </c>
      <c r="AG10">
        <v>1</v>
      </c>
      <c r="AH10">
        <v>0</v>
      </c>
      <c r="AI10">
        <v>1</v>
      </c>
      <c r="AJ10">
        <v>0</v>
      </c>
      <c r="AK10">
        <v>1</v>
      </c>
      <c r="AL10">
        <v>0</v>
      </c>
      <c r="AM10">
        <v>0</v>
      </c>
      <c r="AN10">
        <v>1</v>
      </c>
      <c r="AO10">
        <v>0</v>
      </c>
      <c r="AP10">
        <v>1</v>
      </c>
      <c r="AQ10">
        <v>0</v>
      </c>
      <c r="AR10">
        <v>0</v>
      </c>
      <c r="AS10">
        <v>1</v>
      </c>
      <c r="AT10">
        <v>-1</v>
      </c>
      <c r="AU10">
        <v>1</v>
      </c>
      <c r="AV10">
        <v>0</v>
      </c>
      <c r="AW10">
        <v>0</v>
      </c>
      <c r="AX10">
        <v>1</v>
      </c>
      <c r="AY10">
        <v>0</v>
      </c>
      <c r="AZ10">
        <v>1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-1</v>
      </c>
      <c r="BG10">
        <v>0</v>
      </c>
      <c r="BH10">
        <v>1</v>
      </c>
      <c r="BI10">
        <v>1</v>
      </c>
      <c r="BJ10">
        <v>1</v>
      </c>
      <c r="BK10">
        <v>0</v>
      </c>
      <c r="BL10">
        <v>0</v>
      </c>
      <c r="BM10">
        <v>1</v>
      </c>
      <c r="BN10">
        <v>0</v>
      </c>
      <c r="BO10">
        <v>-1</v>
      </c>
      <c r="BP10">
        <v>0</v>
      </c>
      <c r="BQ10">
        <v>0</v>
      </c>
      <c r="BR10">
        <v>0</v>
      </c>
      <c r="BS10">
        <v>0</v>
      </c>
      <c r="BT10">
        <v>1</v>
      </c>
      <c r="BU10">
        <v>1</v>
      </c>
      <c r="BV10">
        <v>1</v>
      </c>
      <c r="BW10">
        <v>0</v>
      </c>
      <c r="BX10">
        <v>0</v>
      </c>
      <c r="BY10">
        <v>0</v>
      </c>
      <c r="BZ10">
        <v>-1</v>
      </c>
      <c r="CA10">
        <v>1</v>
      </c>
      <c r="CB10">
        <v>0</v>
      </c>
      <c r="CC10">
        <v>0</v>
      </c>
      <c r="CD10">
        <v>1</v>
      </c>
      <c r="CE10">
        <v>0</v>
      </c>
      <c r="CF10">
        <v>1</v>
      </c>
      <c r="CG10">
        <v>0</v>
      </c>
      <c r="CH10">
        <v>0</v>
      </c>
      <c r="CI10">
        <v>1</v>
      </c>
      <c r="CJ10">
        <v>1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1</v>
      </c>
      <c r="CV10">
        <v>0</v>
      </c>
    </row>
    <row r="11" spans="1:100">
      <c r="A11">
        <v>0</v>
      </c>
      <c r="B11">
        <v>1</v>
      </c>
      <c r="C11">
        <v>1</v>
      </c>
      <c r="D11">
        <v>0</v>
      </c>
      <c r="E11">
        <v>0</v>
      </c>
      <c r="F11">
        <v>0</v>
      </c>
      <c r="G11">
        <v>1</v>
      </c>
      <c r="H11">
        <v>1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  <c r="W11">
        <v>0</v>
      </c>
      <c r="X11">
        <v>1</v>
      </c>
      <c r="Y11">
        <v>1</v>
      </c>
      <c r="Z11">
        <v>1</v>
      </c>
      <c r="AA11">
        <v>0</v>
      </c>
      <c r="AB11">
        <v>1</v>
      </c>
      <c r="AC11">
        <v>0</v>
      </c>
      <c r="AD11">
        <v>1</v>
      </c>
      <c r="AE11">
        <v>1</v>
      </c>
      <c r="AF11">
        <v>1</v>
      </c>
      <c r="AG11">
        <v>0</v>
      </c>
      <c r="AH11">
        <v>1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1</v>
      </c>
      <c r="AQ11">
        <v>0</v>
      </c>
      <c r="AR11">
        <v>1</v>
      </c>
      <c r="AS11">
        <v>0</v>
      </c>
      <c r="AT11">
        <v>1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-1</v>
      </c>
      <c r="BA11">
        <v>1</v>
      </c>
      <c r="BB11">
        <v>0</v>
      </c>
      <c r="BC11">
        <v>0</v>
      </c>
      <c r="BD11">
        <v>0</v>
      </c>
      <c r="BE11">
        <v>1</v>
      </c>
      <c r="BF11">
        <v>1</v>
      </c>
      <c r="BG11">
        <v>0</v>
      </c>
      <c r="BH11">
        <v>1</v>
      </c>
      <c r="BI11">
        <v>1</v>
      </c>
      <c r="BJ11">
        <v>0</v>
      </c>
      <c r="BK11">
        <v>0</v>
      </c>
      <c r="BL11">
        <v>1</v>
      </c>
      <c r="BM11">
        <v>1</v>
      </c>
      <c r="BN11">
        <v>0</v>
      </c>
      <c r="BO11">
        <v>1</v>
      </c>
      <c r="BP11">
        <v>0</v>
      </c>
      <c r="BQ11">
        <v>1</v>
      </c>
      <c r="BR11">
        <v>1</v>
      </c>
      <c r="BS11">
        <v>-1</v>
      </c>
      <c r="BT11">
        <v>0</v>
      </c>
      <c r="BU11">
        <v>1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-1</v>
      </c>
      <c r="CB11">
        <v>0</v>
      </c>
      <c r="CC11">
        <v>0</v>
      </c>
      <c r="CD11">
        <v>0</v>
      </c>
      <c r="CE11">
        <v>0</v>
      </c>
      <c r="CF11">
        <v>-1</v>
      </c>
      <c r="CG11">
        <v>0</v>
      </c>
      <c r="CH11">
        <v>0</v>
      </c>
      <c r="CI11">
        <v>1</v>
      </c>
      <c r="CJ11">
        <v>1</v>
      </c>
      <c r="CK11">
        <v>1</v>
      </c>
      <c r="CL11">
        <v>1</v>
      </c>
      <c r="CM11">
        <v>0</v>
      </c>
      <c r="CN11">
        <v>0</v>
      </c>
      <c r="CO11">
        <v>0</v>
      </c>
      <c r="CP11">
        <v>0</v>
      </c>
      <c r="CQ11">
        <v>1</v>
      </c>
      <c r="CR11">
        <v>1</v>
      </c>
      <c r="CS11">
        <v>1</v>
      </c>
      <c r="CT11">
        <v>1</v>
      </c>
      <c r="CU11">
        <v>-1</v>
      </c>
      <c r="CV11">
        <v>0</v>
      </c>
    </row>
    <row r="12" spans="1:100">
      <c r="A12">
        <v>1</v>
      </c>
      <c r="B12">
        <v>1</v>
      </c>
      <c r="C12">
        <v>0</v>
      </c>
      <c r="D12">
        <v>0</v>
      </c>
      <c r="E12">
        <v>0</v>
      </c>
      <c r="F12">
        <v>1</v>
      </c>
      <c r="G12">
        <v>-1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1</v>
      </c>
      <c r="O12">
        <v>-1</v>
      </c>
      <c r="P12">
        <v>1</v>
      </c>
      <c r="Q12">
        <v>0</v>
      </c>
      <c r="R12">
        <v>0</v>
      </c>
      <c r="S12">
        <v>1</v>
      </c>
      <c r="T12">
        <v>1</v>
      </c>
      <c r="U12">
        <v>0</v>
      </c>
      <c r="V12">
        <v>-1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-1</v>
      </c>
      <c r="AE12">
        <v>1</v>
      </c>
      <c r="AF12">
        <v>1</v>
      </c>
      <c r="AG12">
        <v>1</v>
      </c>
      <c r="AH12">
        <v>0</v>
      </c>
      <c r="AI12">
        <v>0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0</v>
      </c>
      <c r="AP12">
        <v>1</v>
      </c>
      <c r="AQ12">
        <v>1</v>
      </c>
      <c r="AR12">
        <v>0</v>
      </c>
      <c r="AS12">
        <v>0</v>
      </c>
      <c r="AT12">
        <v>-1</v>
      </c>
      <c r="AU12">
        <v>0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1</v>
      </c>
      <c r="BF12">
        <v>1</v>
      </c>
      <c r="BG12">
        <v>1</v>
      </c>
      <c r="BH12">
        <v>0</v>
      </c>
      <c r="BI12">
        <v>0</v>
      </c>
      <c r="BJ12">
        <v>1</v>
      </c>
      <c r="BK12">
        <v>-1</v>
      </c>
      <c r="BL12">
        <v>0</v>
      </c>
      <c r="BM12">
        <v>1</v>
      </c>
      <c r="BN12">
        <v>1</v>
      </c>
      <c r="BO12">
        <v>0</v>
      </c>
      <c r="BP12">
        <v>0</v>
      </c>
      <c r="BQ12">
        <v>0</v>
      </c>
      <c r="BR12">
        <v>1</v>
      </c>
      <c r="BS12">
        <v>1</v>
      </c>
      <c r="BT12">
        <v>1</v>
      </c>
      <c r="BU12">
        <v>0</v>
      </c>
      <c r="BV12">
        <v>0</v>
      </c>
      <c r="BW12">
        <v>1</v>
      </c>
      <c r="BX12">
        <v>1</v>
      </c>
      <c r="BY12">
        <v>0</v>
      </c>
      <c r="BZ12">
        <v>-1</v>
      </c>
      <c r="CA12">
        <v>0</v>
      </c>
      <c r="CB12">
        <v>1</v>
      </c>
      <c r="CC12">
        <v>0</v>
      </c>
      <c r="CD12">
        <v>1</v>
      </c>
      <c r="CE12">
        <v>1</v>
      </c>
      <c r="CF12">
        <v>1</v>
      </c>
      <c r="CG12">
        <v>0</v>
      </c>
      <c r="CH12">
        <v>0</v>
      </c>
      <c r="CI12">
        <v>1</v>
      </c>
      <c r="CJ12">
        <v>0</v>
      </c>
      <c r="CK12">
        <v>0</v>
      </c>
      <c r="CL12">
        <v>0</v>
      </c>
      <c r="CM12">
        <v>1</v>
      </c>
      <c r="CN12">
        <v>1</v>
      </c>
      <c r="CO12">
        <v>0</v>
      </c>
      <c r="CP12">
        <v>0</v>
      </c>
      <c r="CQ12">
        <v>0</v>
      </c>
      <c r="CR12">
        <v>1</v>
      </c>
      <c r="CS12">
        <v>0</v>
      </c>
      <c r="CT12">
        <v>-1</v>
      </c>
      <c r="CU12">
        <v>1</v>
      </c>
      <c r="CV12">
        <v>1</v>
      </c>
    </row>
    <row r="13" spans="1:100">
      <c r="A13">
        <v>0</v>
      </c>
      <c r="B13">
        <v>0</v>
      </c>
      <c r="C13">
        <v>1</v>
      </c>
      <c r="D13">
        <v>0</v>
      </c>
      <c r="E13">
        <v>1</v>
      </c>
      <c r="F13">
        <v>1</v>
      </c>
      <c r="G13">
        <v>0</v>
      </c>
      <c r="H13">
        <v>0</v>
      </c>
      <c r="I13">
        <v>0</v>
      </c>
      <c r="J13">
        <v>1</v>
      </c>
      <c r="K13">
        <v>1</v>
      </c>
      <c r="L13">
        <v>1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1</v>
      </c>
      <c r="Z13">
        <v>0</v>
      </c>
      <c r="AA13">
        <v>1</v>
      </c>
      <c r="AB13">
        <v>1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1</v>
      </c>
      <c r="AL13">
        <v>0</v>
      </c>
      <c r="AM13">
        <v>-1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1</v>
      </c>
      <c r="AT13">
        <v>0</v>
      </c>
      <c r="AU13">
        <v>0</v>
      </c>
      <c r="AV13">
        <v>1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1</v>
      </c>
      <c r="BG13">
        <v>0</v>
      </c>
      <c r="BH13">
        <v>0</v>
      </c>
      <c r="BI13">
        <v>0</v>
      </c>
      <c r="BJ13">
        <v>-1</v>
      </c>
      <c r="BK13">
        <v>0</v>
      </c>
      <c r="BL13">
        <v>1</v>
      </c>
      <c r="BM13">
        <v>0</v>
      </c>
      <c r="BN13">
        <v>0</v>
      </c>
      <c r="BO13">
        <v>0</v>
      </c>
      <c r="BP13">
        <v>1</v>
      </c>
      <c r="BQ13">
        <v>0</v>
      </c>
      <c r="BR13">
        <v>1</v>
      </c>
      <c r="BS13">
        <v>1</v>
      </c>
      <c r="BT13">
        <v>1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-1</v>
      </c>
      <c r="CD13">
        <v>1</v>
      </c>
      <c r="CE13">
        <v>1</v>
      </c>
      <c r="CF13">
        <v>1</v>
      </c>
      <c r="CG13">
        <v>0</v>
      </c>
      <c r="CH13">
        <v>0</v>
      </c>
      <c r="CI13">
        <v>0</v>
      </c>
      <c r="CJ13">
        <v>0</v>
      </c>
      <c r="CK13">
        <v>1</v>
      </c>
      <c r="CL13">
        <v>0</v>
      </c>
      <c r="CM13">
        <v>-1</v>
      </c>
      <c r="CN13">
        <v>1</v>
      </c>
      <c r="CO13">
        <v>1</v>
      </c>
      <c r="CP13">
        <v>0</v>
      </c>
      <c r="CQ13">
        <v>1</v>
      </c>
      <c r="CR13">
        <v>1</v>
      </c>
      <c r="CS13">
        <v>1</v>
      </c>
      <c r="CT13">
        <v>0</v>
      </c>
      <c r="CU13">
        <v>1</v>
      </c>
      <c r="CV13">
        <v>0</v>
      </c>
    </row>
    <row r="14" spans="1:100">
      <c r="A14">
        <v>1</v>
      </c>
      <c r="B14">
        <v>0</v>
      </c>
      <c r="C14">
        <v>1</v>
      </c>
      <c r="D14">
        <v>1</v>
      </c>
      <c r="E14">
        <v>1</v>
      </c>
      <c r="F14">
        <v>1</v>
      </c>
      <c r="G14">
        <v>1</v>
      </c>
      <c r="H14">
        <v>0</v>
      </c>
      <c r="I14">
        <v>-1</v>
      </c>
      <c r="J14">
        <v>-1</v>
      </c>
      <c r="K14">
        <v>0</v>
      </c>
      <c r="L14">
        <v>0</v>
      </c>
      <c r="M14">
        <v>1</v>
      </c>
      <c r="N14">
        <v>1</v>
      </c>
      <c r="O14">
        <v>1</v>
      </c>
      <c r="P14">
        <v>1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1</v>
      </c>
      <c r="X14">
        <v>1</v>
      </c>
      <c r="Y14">
        <v>1</v>
      </c>
      <c r="Z14">
        <v>-1</v>
      </c>
      <c r="AA14">
        <v>0</v>
      </c>
      <c r="AB14">
        <v>1</v>
      </c>
      <c r="AC14">
        <v>1</v>
      </c>
      <c r="AD14">
        <v>1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1</v>
      </c>
      <c r="AN14">
        <v>0</v>
      </c>
      <c r="AO14">
        <v>0</v>
      </c>
      <c r="AP14">
        <v>1</v>
      </c>
      <c r="AQ14">
        <v>0</v>
      </c>
      <c r="AR14">
        <v>-1</v>
      </c>
      <c r="AS14">
        <v>1</v>
      </c>
      <c r="AT14">
        <v>1</v>
      </c>
      <c r="AU14">
        <v>-1</v>
      </c>
      <c r="AV14">
        <v>0</v>
      </c>
      <c r="AW14">
        <v>0</v>
      </c>
      <c r="AX14">
        <v>-1</v>
      </c>
      <c r="AY14">
        <v>1</v>
      </c>
      <c r="AZ14">
        <v>1</v>
      </c>
      <c r="BA14">
        <v>1</v>
      </c>
      <c r="BB14">
        <v>1</v>
      </c>
      <c r="BC14">
        <v>-1</v>
      </c>
      <c r="BD14">
        <v>1</v>
      </c>
      <c r="BE14">
        <v>-1</v>
      </c>
      <c r="BF14">
        <v>0</v>
      </c>
      <c r="BG14">
        <v>1</v>
      </c>
      <c r="BH14">
        <v>1</v>
      </c>
      <c r="BI14">
        <v>0</v>
      </c>
      <c r="BJ14">
        <v>0</v>
      </c>
      <c r="BK14">
        <v>1</v>
      </c>
      <c r="BL14">
        <v>1</v>
      </c>
      <c r="BM14">
        <v>0</v>
      </c>
      <c r="BN14">
        <v>1</v>
      </c>
      <c r="BO14">
        <v>0</v>
      </c>
      <c r="BP14">
        <v>1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1</v>
      </c>
      <c r="BY14">
        <v>-1</v>
      </c>
      <c r="BZ14">
        <v>0</v>
      </c>
      <c r="CA14">
        <v>-1</v>
      </c>
      <c r="CB14">
        <v>0</v>
      </c>
      <c r="CC14">
        <v>-1</v>
      </c>
      <c r="CD14">
        <v>-1</v>
      </c>
      <c r="CE14">
        <v>0</v>
      </c>
      <c r="CF14">
        <v>1</v>
      </c>
      <c r="CG14">
        <v>0</v>
      </c>
      <c r="CH14">
        <v>-1</v>
      </c>
      <c r="CI14">
        <v>1</v>
      </c>
      <c r="CJ14">
        <v>1</v>
      </c>
      <c r="CK14">
        <v>-1</v>
      </c>
      <c r="CL14">
        <v>0</v>
      </c>
      <c r="CM14">
        <v>1</v>
      </c>
      <c r="CN14">
        <v>0</v>
      </c>
      <c r="CO14">
        <v>0</v>
      </c>
      <c r="CP14">
        <v>0</v>
      </c>
      <c r="CQ14">
        <v>1</v>
      </c>
      <c r="CR14">
        <v>0</v>
      </c>
      <c r="CS14">
        <v>0</v>
      </c>
      <c r="CT14">
        <v>0</v>
      </c>
      <c r="CU14">
        <v>0</v>
      </c>
      <c r="CV14">
        <v>1</v>
      </c>
    </row>
    <row r="15" spans="1:100">
      <c r="A15">
        <v>1</v>
      </c>
      <c r="B15">
        <v>-1</v>
      </c>
      <c r="C15">
        <v>1</v>
      </c>
      <c r="D15">
        <v>0</v>
      </c>
      <c r="E15">
        <v>0</v>
      </c>
      <c r="F15">
        <v>1</v>
      </c>
      <c r="G15">
        <v>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1</v>
      </c>
      <c r="S15">
        <v>0</v>
      </c>
      <c r="T15">
        <v>0</v>
      </c>
      <c r="U15">
        <v>1</v>
      </c>
      <c r="V15">
        <v>-1</v>
      </c>
      <c r="W15">
        <v>1</v>
      </c>
      <c r="X15">
        <v>1</v>
      </c>
      <c r="Y15">
        <v>0</v>
      </c>
      <c r="Z15">
        <v>0</v>
      </c>
      <c r="AA15">
        <v>1</v>
      </c>
      <c r="AB15">
        <v>1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1</v>
      </c>
      <c r="AJ15">
        <v>-1</v>
      </c>
      <c r="AK15">
        <v>1</v>
      </c>
      <c r="AL15">
        <v>1</v>
      </c>
      <c r="AM15">
        <v>1</v>
      </c>
      <c r="AN15">
        <v>0</v>
      </c>
      <c r="AO15">
        <v>0</v>
      </c>
      <c r="AP15">
        <v>1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-1</v>
      </c>
      <c r="AY15">
        <v>1</v>
      </c>
      <c r="AZ15">
        <v>0</v>
      </c>
      <c r="BA15">
        <v>1</v>
      </c>
      <c r="BB15">
        <v>-1</v>
      </c>
      <c r="BC15">
        <v>0</v>
      </c>
      <c r="BD15">
        <v>1</v>
      </c>
      <c r="BE15">
        <v>1</v>
      </c>
      <c r="BF15">
        <v>1</v>
      </c>
      <c r="BG15">
        <v>0</v>
      </c>
      <c r="BH15">
        <v>0</v>
      </c>
      <c r="BI15">
        <v>1</v>
      </c>
      <c r="BJ15">
        <v>0</v>
      </c>
      <c r="BK15">
        <v>-1</v>
      </c>
      <c r="BL15">
        <v>1</v>
      </c>
      <c r="BM15">
        <v>1</v>
      </c>
      <c r="BN15">
        <v>0</v>
      </c>
      <c r="BO15">
        <v>-1</v>
      </c>
      <c r="BP15">
        <v>0</v>
      </c>
      <c r="BQ15">
        <v>1</v>
      </c>
      <c r="BR15">
        <v>0</v>
      </c>
      <c r="BS15">
        <v>-1</v>
      </c>
      <c r="BT15">
        <v>1</v>
      </c>
      <c r="BU15">
        <v>0</v>
      </c>
      <c r="BV15">
        <v>1</v>
      </c>
      <c r="BW15">
        <v>-1</v>
      </c>
      <c r="BX15">
        <v>1</v>
      </c>
      <c r="BY15">
        <v>1</v>
      </c>
      <c r="BZ15">
        <v>-1</v>
      </c>
      <c r="CA15">
        <v>-1</v>
      </c>
      <c r="CB15">
        <v>0</v>
      </c>
      <c r="CC15">
        <v>-1</v>
      </c>
      <c r="CD15">
        <v>-1</v>
      </c>
      <c r="CE15">
        <v>1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1</v>
      </c>
      <c r="CN15">
        <v>0</v>
      </c>
      <c r="CO15">
        <v>0</v>
      </c>
      <c r="CP15">
        <v>0</v>
      </c>
      <c r="CQ15">
        <v>0</v>
      </c>
      <c r="CR15">
        <v>1</v>
      </c>
      <c r="CS15">
        <v>0</v>
      </c>
      <c r="CT15">
        <v>1</v>
      </c>
      <c r="CU15">
        <v>0</v>
      </c>
      <c r="CV15">
        <v>0</v>
      </c>
    </row>
    <row r="16" spans="1:100">
      <c r="A16">
        <v>0</v>
      </c>
      <c r="B16">
        <v>0</v>
      </c>
      <c r="C16">
        <v>1</v>
      </c>
      <c r="D16">
        <v>1</v>
      </c>
      <c r="E16">
        <v>1</v>
      </c>
      <c r="F16">
        <v>1</v>
      </c>
      <c r="G16">
        <v>0</v>
      </c>
      <c r="H16">
        <v>1</v>
      </c>
      <c r="I16">
        <v>1</v>
      </c>
      <c r="J16">
        <v>0</v>
      </c>
      <c r="K16">
        <v>0</v>
      </c>
      <c r="L16">
        <v>-1</v>
      </c>
      <c r="M16">
        <v>0</v>
      </c>
      <c r="N16">
        <v>0</v>
      </c>
      <c r="O16">
        <v>1</v>
      </c>
      <c r="P16">
        <v>0</v>
      </c>
      <c r="Q16">
        <v>1</v>
      </c>
      <c r="R16">
        <v>0</v>
      </c>
      <c r="S16">
        <v>0</v>
      </c>
      <c r="T16">
        <v>1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-1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1</v>
      </c>
      <c r="AM16">
        <v>0</v>
      </c>
      <c r="AN16">
        <v>1</v>
      </c>
      <c r="AO16">
        <v>-1</v>
      </c>
      <c r="AP16">
        <v>0</v>
      </c>
      <c r="AQ16">
        <v>0</v>
      </c>
      <c r="AR16">
        <v>1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0</v>
      </c>
      <c r="BB16">
        <v>0</v>
      </c>
      <c r="BC16">
        <v>1</v>
      </c>
      <c r="BD16">
        <v>1</v>
      </c>
      <c r="BE16">
        <v>1</v>
      </c>
      <c r="BF16">
        <v>0</v>
      </c>
      <c r="BG16">
        <v>1</v>
      </c>
      <c r="BH16">
        <v>1</v>
      </c>
      <c r="BI16">
        <v>0</v>
      </c>
      <c r="BJ16">
        <v>0</v>
      </c>
      <c r="BK16">
        <v>0</v>
      </c>
      <c r="BL16">
        <v>1</v>
      </c>
      <c r="BM16">
        <v>1</v>
      </c>
      <c r="BN16">
        <v>1</v>
      </c>
      <c r="BO16">
        <v>0</v>
      </c>
      <c r="BP16">
        <v>0</v>
      </c>
      <c r="BQ16">
        <v>0</v>
      </c>
      <c r="BR16">
        <v>0</v>
      </c>
      <c r="BS16">
        <v>1</v>
      </c>
      <c r="BT16">
        <v>1</v>
      </c>
      <c r="BU16">
        <v>0</v>
      </c>
      <c r="BV16">
        <v>0</v>
      </c>
      <c r="BW16">
        <v>0</v>
      </c>
      <c r="BX16">
        <v>0</v>
      </c>
      <c r="BY16">
        <v>1</v>
      </c>
      <c r="BZ16">
        <v>1</v>
      </c>
      <c r="CA16">
        <v>1</v>
      </c>
      <c r="CB16">
        <v>0</v>
      </c>
      <c r="CC16">
        <v>0</v>
      </c>
      <c r="CD16">
        <v>0</v>
      </c>
      <c r="CE16">
        <v>1</v>
      </c>
      <c r="CF16">
        <v>1</v>
      </c>
      <c r="CG16">
        <v>0</v>
      </c>
      <c r="CH16">
        <v>1</v>
      </c>
      <c r="CI16">
        <v>0</v>
      </c>
      <c r="CJ16">
        <v>0</v>
      </c>
      <c r="CK16">
        <v>0</v>
      </c>
      <c r="CL16">
        <v>0</v>
      </c>
      <c r="CM16">
        <v>1</v>
      </c>
      <c r="CN16">
        <v>0</v>
      </c>
      <c r="CO16">
        <v>1</v>
      </c>
      <c r="CP16">
        <v>1</v>
      </c>
      <c r="CQ16">
        <v>1</v>
      </c>
      <c r="CR16">
        <v>-1</v>
      </c>
      <c r="CS16">
        <v>0</v>
      </c>
      <c r="CT16">
        <v>0</v>
      </c>
      <c r="CU16">
        <v>1</v>
      </c>
      <c r="CV16">
        <v>0</v>
      </c>
    </row>
    <row r="17" spans="1:100">
      <c r="A17">
        <v>0</v>
      </c>
      <c r="B17">
        <v>0</v>
      </c>
      <c r="C17">
        <v>1</v>
      </c>
      <c r="D17">
        <v>0</v>
      </c>
      <c r="E17">
        <v>1</v>
      </c>
      <c r="F17">
        <v>1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1</v>
      </c>
      <c r="O17">
        <v>-1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1</v>
      </c>
      <c r="AH17">
        <v>0</v>
      </c>
      <c r="AI17">
        <v>0</v>
      </c>
      <c r="AJ17">
        <v>-1</v>
      </c>
      <c r="AK17">
        <v>1</v>
      </c>
      <c r="AL17">
        <v>1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1</v>
      </c>
      <c r="AS17">
        <v>0</v>
      </c>
      <c r="AT17">
        <v>0</v>
      </c>
      <c r="AU17">
        <v>1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1</v>
      </c>
      <c r="BB17">
        <v>0</v>
      </c>
      <c r="BC17">
        <v>0</v>
      </c>
      <c r="BD17">
        <v>0</v>
      </c>
      <c r="BE17">
        <v>1</v>
      </c>
      <c r="BF17">
        <v>0</v>
      </c>
      <c r="BG17">
        <v>0</v>
      </c>
      <c r="BH17">
        <v>1</v>
      </c>
      <c r="BI17">
        <v>1</v>
      </c>
      <c r="BJ17">
        <v>1</v>
      </c>
      <c r="BK17">
        <v>0</v>
      </c>
      <c r="BL17">
        <v>0</v>
      </c>
      <c r="BM17">
        <v>-1</v>
      </c>
      <c r="BN17">
        <v>0</v>
      </c>
      <c r="BO17">
        <v>0</v>
      </c>
      <c r="BP17">
        <v>0</v>
      </c>
      <c r="BQ17">
        <v>1</v>
      </c>
      <c r="BR17">
        <v>1</v>
      </c>
      <c r="BS17">
        <v>1</v>
      </c>
      <c r="BT17">
        <v>0</v>
      </c>
      <c r="BU17">
        <v>1</v>
      </c>
      <c r="BV17">
        <v>0</v>
      </c>
      <c r="BW17">
        <v>0</v>
      </c>
      <c r="BX17">
        <v>0</v>
      </c>
      <c r="BY17">
        <v>0</v>
      </c>
      <c r="BZ17">
        <v>1</v>
      </c>
      <c r="CA17">
        <v>0</v>
      </c>
      <c r="CB17">
        <v>1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1</v>
      </c>
      <c r="CI17">
        <v>0</v>
      </c>
      <c r="CJ17">
        <v>0</v>
      </c>
      <c r="CK17">
        <v>1</v>
      </c>
      <c r="CL17">
        <v>0</v>
      </c>
      <c r="CM17">
        <v>0</v>
      </c>
      <c r="CN17">
        <v>0</v>
      </c>
      <c r="CO17">
        <v>1</v>
      </c>
      <c r="CP17">
        <v>0</v>
      </c>
      <c r="CQ17">
        <v>0</v>
      </c>
      <c r="CR17">
        <v>0</v>
      </c>
      <c r="CS17">
        <v>-1</v>
      </c>
      <c r="CT17">
        <v>1</v>
      </c>
      <c r="CU17">
        <v>0</v>
      </c>
      <c r="CV17">
        <v>1</v>
      </c>
    </row>
    <row r="18" spans="1:100">
      <c r="A18">
        <v>0</v>
      </c>
      <c r="B18">
        <v>-1</v>
      </c>
      <c r="C18">
        <v>1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1</v>
      </c>
      <c r="L18">
        <v>1</v>
      </c>
      <c r="M18">
        <v>0</v>
      </c>
      <c r="N18">
        <v>1</v>
      </c>
      <c r="O18">
        <v>0</v>
      </c>
      <c r="P18">
        <v>-1</v>
      </c>
      <c r="Q18">
        <v>-1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1</v>
      </c>
      <c r="AD18">
        <v>1</v>
      </c>
      <c r="AE18">
        <v>1</v>
      </c>
      <c r="AF18">
        <v>-1</v>
      </c>
      <c r="AG18">
        <v>0</v>
      </c>
      <c r="AH18">
        <v>1</v>
      </c>
      <c r="AI18">
        <v>0</v>
      </c>
      <c r="AJ18">
        <v>1</v>
      </c>
      <c r="AK18">
        <v>1</v>
      </c>
      <c r="AL18">
        <v>1</v>
      </c>
      <c r="AM18">
        <v>-1</v>
      </c>
      <c r="AN18">
        <v>1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1</v>
      </c>
      <c r="AU18">
        <v>1</v>
      </c>
      <c r="AV18">
        <v>1</v>
      </c>
      <c r="AW18">
        <v>1</v>
      </c>
      <c r="AX18">
        <v>0</v>
      </c>
      <c r="AY18">
        <v>1</v>
      </c>
      <c r="AZ18">
        <v>0</v>
      </c>
      <c r="BA18">
        <v>1</v>
      </c>
      <c r="BB18">
        <v>1</v>
      </c>
      <c r="BC18">
        <v>0</v>
      </c>
      <c r="BD18">
        <v>1</v>
      </c>
      <c r="BE18">
        <v>0</v>
      </c>
      <c r="BF18">
        <v>0</v>
      </c>
      <c r="BG18">
        <v>1</v>
      </c>
      <c r="BH18">
        <v>0</v>
      </c>
      <c r="BI18">
        <v>0</v>
      </c>
      <c r="BJ18">
        <v>-1</v>
      </c>
      <c r="BK18">
        <v>0</v>
      </c>
      <c r="BL18">
        <v>0</v>
      </c>
      <c r="BM18">
        <v>-1</v>
      </c>
      <c r="BN18">
        <v>1</v>
      </c>
      <c r="BO18">
        <v>1</v>
      </c>
      <c r="BP18">
        <v>0</v>
      </c>
      <c r="BQ18">
        <v>0</v>
      </c>
      <c r="BR18">
        <v>1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1</v>
      </c>
      <c r="BY18">
        <v>0</v>
      </c>
      <c r="BZ18">
        <v>1</v>
      </c>
      <c r="CA18">
        <v>0</v>
      </c>
      <c r="CB18">
        <v>-1</v>
      </c>
      <c r="CC18">
        <v>0</v>
      </c>
      <c r="CD18">
        <v>0</v>
      </c>
      <c r="CE18">
        <v>0</v>
      </c>
      <c r="CF18">
        <v>-1</v>
      </c>
      <c r="CG18">
        <v>1</v>
      </c>
      <c r="CH18">
        <v>0</v>
      </c>
      <c r="CI18">
        <v>0</v>
      </c>
      <c r="CJ18">
        <v>0</v>
      </c>
      <c r="CK18">
        <v>1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1</v>
      </c>
      <c r="CS18">
        <v>1</v>
      </c>
      <c r="CT18">
        <v>1</v>
      </c>
      <c r="CU18">
        <v>0</v>
      </c>
      <c r="CV18">
        <v>0</v>
      </c>
    </row>
    <row r="19" spans="1:100">
      <c r="A19">
        <v>1</v>
      </c>
      <c r="B19">
        <v>0</v>
      </c>
      <c r="C19">
        <v>-1</v>
      </c>
      <c r="D19">
        <v>0</v>
      </c>
      <c r="E19">
        <v>0</v>
      </c>
      <c r="F19">
        <v>1</v>
      </c>
      <c r="G19">
        <v>-1</v>
      </c>
      <c r="H19">
        <v>0</v>
      </c>
      <c r="I19">
        <v>1</v>
      </c>
      <c r="J19">
        <v>1</v>
      </c>
      <c r="K19">
        <v>1</v>
      </c>
      <c r="L19">
        <v>0</v>
      </c>
      <c r="M19">
        <v>0</v>
      </c>
      <c r="N19">
        <v>1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-1</v>
      </c>
      <c r="V19">
        <v>-1</v>
      </c>
      <c r="W19">
        <v>1</v>
      </c>
      <c r="X19">
        <v>1</v>
      </c>
      <c r="Y19">
        <v>0</v>
      </c>
      <c r="Z19">
        <v>-1</v>
      </c>
      <c r="AA19">
        <v>0</v>
      </c>
      <c r="AB19">
        <v>-1</v>
      </c>
      <c r="AC19">
        <v>0</v>
      </c>
      <c r="AD19">
        <v>1</v>
      </c>
      <c r="AE19">
        <v>0</v>
      </c>
      <c r="AF19">
        <v>1</v>
      </c>
      <c r="AG19">
        <v>0</v>
      </c>
      <c r="AH19">
        <v>-1</v>
      </c>
      <c r="AI19">
        <v>0</v>
      </c>
      <c r="AJ19">
        <v>1</v>
      </c>
      <c r="AK19">
        <v>0</v>
      </c>
      <c r="AL19">
        <v>0</v>
      </c>
      <c r="AM19">
        <v>1</v>
      </c>
      <c r="AN19">
        <v>-1</v>
      </c>
      <c r="AO19">
        <v>0</v>
      </c>
      <c r="AP19">
        <v>1</v>
      </c>
      <c r="AQ19">
        <v>0</v>
      </c>
      <c r="AR19">
        <v>1</v>
      </c>
      <c r="AS19">
        <v>0</v>
      </c>
      <c r="AT19">
        <v>0</v>
      </c>
      <c r="AU19">
        <v>1</v>
      </c>
      <c r="AV19">
        <v>-1</v>
      </c>
      <c r="AW19">
        <v>1</v>
      </c>
      <c r="AX19">
        <v>1</v>
      </c>
      <c r="AY19">
        <v>1</v>
      </c>
      <c r="AZ19">
        <v>1</v>
      </c>
      <c r="BA19">
        <v>0</v>
      </c>
      <c r="BB19">
        <v>0</v>
      </c>
      <c r="BC19">
        <v>1</v>
      </c>
      <c r="BD19">
        <v>0</v>
      </c>
      <c r="BE19">
        <v>0</v>
      </c>
      <c r="BF19">
        <v>0</v>
      </c>
      <c r="BG19">
        <v>1</v>
      </c>
      <c r="BH19">
        <v>0</v>
      </c>
      <c r="BI19">
        <v>0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-1</v>
      </c>
      <c r="BP19">
        <v>0</v>
      </c>
      <c r="BQ19">
        <v>0</v>
      </c>
      <c r="BR19">
        <v>0</v>
      </c>
      <c r="BS19">
        <v>1</v>
      </c>
      <c r="BT19">
        <v>0</v>
      </c>
      <c r="BU19">
        <v>1</v>
      </c>
      <c r="BV19">
        <v>1</v>
      </c>
      <c r="BW19">
        <v>0</v>
      </c>
      <c r="BX19">
        <v>0</v>
      </c>
      <c r="BY19">
        <v>1</v>
      </c>
      <c r="BZ19">
        <v>1</v>
      </c>
      <c r="CA19">
        <v>1</v>
      </c>
      <c r="CB19">
        <v>1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1</v>
      </c>
      <c r="CJ19">
        <v>1</v>
      </c>
      <c r="CK19">
        <v>0</v>
      </c>
      <c r="CL19">
        <v>0</v>
      </c>
      <c r="CM19">
        <v>-1</v>
      </c>
      <c r="CN19">
        <v>1</v>
      </c>
      <c r="CO19">
        <v>1</v>
      </c>
      <c r="CP19">
        <v>1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-1</v>
      </c>
    </row>
    <row r="20" spans="1:100">
      <c r="A20">
        <v>1</v>
      </c>
      <c r="B20">
        <v>0</v>
      </c>
      <c r="C20">
        <v>1</v>
      </c>
      <c r="D20">
        <v>0</v>
      </c>
      <c r="E20">
        <v>-1</v>
      </c>
      <c r="F20">
        <v>0</v>
      </c>
      <c r="G20">
        <v>1</v>
      </c>
      <c r="H20">
        <v>1</v>
      </c>
      <c r="I20">
        <v>1</v>
      </c>
      <c r="J20">
        <v>0</v>
      </c>
      <c r="K20">
        <v>0</v>
      </c>
      <c r="L20">
        <v>1</v>
      </c>
      <c r="M20">
        <v>-1</v>
      </c>
      <c r="N20">
        <v>1</v>
      </c>
      <c r="O20">
        <v>1</v>
      </c>
      <c r="P20">
        <v>0</v>
      </c>
      <c r="Q20">
        <v>0</v>
      </c>
      <c r="R20">
        <v>0</v>
      </c>
      <c r="S20">
        <v>1</v>
      </c>
      <c r="T20">
        <v>0</v>
      </c>
      <c r="U20">
        <v>-1</v>
      </c>
      <c r="V20">
        <v>0</v>
      </c>
      <c r="W20">
        <v>1</v>
      </c>
      <c r="X20">
        <v>0</v>
      </c>
      <c r="Y20">
        <v>-1</v>
      </c>
      <c r="Z20">
        <v>0</v>
      </c>
      <c r="AA20">
        <v>1</v>
      </c>
      <c r="AB20">
        <v>0</v>
      </c>
      <c r="AC20">
        <v>0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0</v>
      </c>
      <c r="AJ20">
        <v>1</v>
      </c>
      <c r="AK20">
        <v>-1</v>
      </c>
      <c r="AL20">
        <v>0</v>
      </c>
      <c r="AM20">
        <v>1</v>
      </c>
      <c r="AN20">
        <v>0</v>
      </c>
      <c r="AO20">
        <v>1</v>
      </c>
      <c r="AP20">
        <v>1</v>
      </c>
      <c r="AQ20">
        <v>0</v>
      </c>
      <c r="AR20">
        <v>0</v>
      </c>
      <c r="AS20">
        <v>1</v>
      </c>
      <c r="AT20">
        <v>1</v>
      </c>
      <c r="AU20">
        <v>0</v>
      </c>
      <c r="AV20">
        <v>0</v>
      </c>
      <c r="AW20">
        <v>1</v>
      </c>
      <c r="AX20">
        <v>0</v>
      </c>
      <c r="AY20">
        <v>0</v>
      </c>
      <c r="AZ20">
        <v>1</v>
      </c>
      <c r="BA20">
        <v>1</v>
      </c>
      <c r="BB20">
        <v>0</v>
      </c>
      <c r="BC20">
        <v>1</v>
      </c>
      <c r="BD20">
        <v>1</v>
      </c>
      <c r="BE20">
        <v>-1</v>
      </c>
      <c r="BF20">
        <v>0</v>
      </c>
      <c r="BG20">
        <v>1</v>
      </c>
      <c r="BH20">
        <v>0</v>
      </c>
      <c r="BI20">
        <v>0</v>
      </c>
      <c r="BJ20">
        <v>-1</v>
      </c>
      <c r="BK20">
        <v>0</v>
      </c>
      <c r="BL20">
        <v>-1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1</v>
      </c>
      <c r="BS20">
        <v>1</v>
      </c>
      <c r="BT20">
        <v>0</v>
      </c>
      <c r="BU20">
        <v>1</v>
      </c>
      <c r="BV20">
        <v>1</v>
      </c>
      <c r="BW20">
        <v>0</v>
      </c>
      <c r="BX20">
        <v>1</v>
      </c>
      <c r="BY20">
        <v>-1</v>
      </c>
      <c r="BZ20">
        <v>0</v>
      </c>
      <c r="CA20">
        <v>0</v>
      </c>
      <c r="CB20">
        <v>-1</v>
      </c>
      <c r="CC20">
        <v>0</v>
      </c>
      <c r="CD20">
        <v>1</v>
      </c>
      <c r="CE20">
        <v>1</v>
      </c>
      <c r="CF20">
        <v>1</v>
      </c>
      <c r="CG20">
        <v>1</v>
      </c>
      <c r="CH20">
        <v>0</v>
      </c>
      <c r="CI20">
        <v>0</v>
      </c>
      <c r="CJ20">
        <v>0</v>
      </c>
      <c r="CK20">
        <v>1</v>
      </c>
      <c r="CL20">
        <v>0</v>
      </c>
      <c r="CM20">
        <v>0</v>
      </c>
      <c r="CN20">
        <v>-1</v>
      </c>
      <c r="CO20">
        <v>1</v>
      </c>
      <c r="CP20">
        <v>1</v>
      </c>
      <c r="CQ20">
        <v>0</v>
      </c>
      <c r="CR20">
        <v>-1</v>
      </c>
      <c r="CS20">
        <v>0</v>
      </c>
      <c r="CT20">
        <v>1</v>
      </c>
      <c r="CU20">
        <v>0</v>
      </c>
      <c r="CV20">
        <v>-1</v>
      </c>
    </row>
    <row r="21" spans="1:100">
      <c r="A21">
        <v>1</v>
      </c>
      <c r="B21">
        <v>0</v>
      </c>
      <c r="C21">
        <v>-1</v>
      </c>
      <c r="D21">
        <v>-1</v>
      </c>
      <c r="E21">
        <v>1</v>
      </c>
      <c r="F21">
        <v>1</v>
      </c>
      <c r="G21">
        <v>-1</v>
      </c>
      <c r="H21">
        <v>0</v>
      </c>
      <c r="I21">
        <v>0</v>
      </c>
      <c r="J21">
        <v>0</v>
      </c>
      <c r="K21">
        <v>0</v>
      </c>
      <c r="L21">
        <v>1</v>
      </c>
      <c r="M21">
        <v>-1</v>
      </c>
      <c r="N21">
        <v>1</v>
      </c>
      <c r="O21">
        <v>1</v>
      </c>
      <c r="P21">
        <v>1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1</v>
      </c>
      <c r="AI21">
        <v>-1</v>
      </c>
      <c r="AJ21">
        <v>-1</v>
      </c>
      <c r="AK21">
        <v>-1</v>
      </c>
      <c r="AL21">
        <v>1</v>
      </c>
      <c r="AM21">
        <v>0</v>
      </c>
      <c r="AN21">
        <v>1</v>
      </c>
      <c r="AO21">
        <v>1</v>
      </c>
      <c r="AP21">
        <v>1</v>
      </c>
      <c r="AQ21">
        <v>0</v>
      </c>
      <c r="AR21">
        <v>1</v>
      </c>
      <c r="AS21">
        <v>0</v>
      </c>
      <c r="AT21">
        <v>0</v>
      </c>
      <c r="AU21">
        <v>1</v>
      </c>
      <c r="AV21">
        <v>1</v>
      </c>
      <c r="AW21">
        <v>0</v>
      </c>
      <c r="AX21">
        <v>1</v>
      </c>
      <c r="AY21">
        <v>1</v>
      </c>
      <c r="AZ21">
        <v>0</v>
      </c>
      <c r="BA21">
        <v>0</v>
      </c>
      <c r="BB21">
        <v>1</v>
      </c>
      <c r="BC21">
        <v>1</v>
      </c>
      <c r="BD21">
        <v>-1</v>
      </c>
      <c r="BE21">
        <v>1</v>
      </c>
      <c r="BF21">
        <v>1</v>
      </c>
      <c r="BG21">
        <v>0</v>
      </c>
      <c r="BH21">
        <v>1</v>
      </c>
      <c r="BI21">
        <v>0</v>
      </c>
      <c r="BJ21">
        <v>1</v>
      </c>
      <c r="BK21">
        <v>1</v>
      </c>
      <c r="BL21">
        <v>1</v>
      </c>
      <c r="BM21">
        <v>-1</v>
      </c>
      <c r="BN21">
        <v>1</v>
      </c>
      <c r="BO21">
        <v>1</v>
      </c>
      <c r="BP21">
        <v>0</v>
      </c>
      <c r="BQ21">
        <v>0</v>
      </c>
      <c r="BR21">
        <v>0</v>
      </c>
      <c r="BS21">
        <v>0</v>
      </c>
      <c r="BT21">
        <v>1</v>
      </c>
      <c r="BU21">
        <v>0</v>
      </c>
      <c r="BV21">
        <v>1</v>
      </c>
      <c r="BW21">
        <v>0</v>
      </c>
      <c r="BX21">
        <v>1</v>
      </c>
      <c r="BY21">
        <v>0</v>
      </c>
      <c r="BZ21">
        <v>1</v>
      </c>
      <c r="CA21">
        <v>1</v>
      </c>
      <c r="CB21">
        <v>0</v>
      </c>
      <c r="CC21">
        <v>0</v>
      </c>
      <c r="CD21">
        <v>-1</v>
      </c>
      <c r="CE21">
        <v>1</v>
      </c>
      <c r="CF21">
        <v>1</v>
      </c>
      <c r="CG21">
        <v>1</v>
      </c>
      <c r="CH21">
        <v>-1</v>
      </c>
      <c r="CI21">
        <v>1</v>
      </c>
      <c r="CJ21">
        <v>1</v>
      </c>
      <c r="CK21">
        <v>0</v>
      </c>
      <c r="CL21">
        <v>1</v>
      </c>
      <c r="CM21">
        <v>1</v>
      </c>
      <c r="CN21">
        <v>-1</v>
      </c>
      <c r="CO21">
        <v>0</v>
      </c>
      <c r="CP21">
        <v>-1</v>
      </c>
      <c r="CQ21">
        <v>1</v>
      </c>
      <c r="CR21">
        <v>0</v>
      </c>
      <c r="CS21">
        <v>1</v>
      </c>
      <c r="CT21">
        <v>1</v>
      </c>
      <c r="CU21">
        <v>-1</v>
      </c>
      <c r="CV21">
        <v>0</v>
      </c>
    </row>
    <row r="22" spans="1:100">
      <c r="A22">
        <v>1</v>
      </c>
      <c r="B22">
        <v>0</v>
      </c>
      <c r="C22">
        <v>0</v>
      </c>
      <c r="D22">
        <v>1</v>
      </c>
      <c r="E22">
        <v>1</v>
      </c>
      <c r="F22">
        <v>0</v>
      </c>
      <c r="G22">
        <v>0</v>
      </c>
      <c r="H22">
        <v>0</v>
      </c>
      <c r="I22">
        <v>-1</v>
      </c>
      <c r="J22">
        <v>0</v>
      </c>
      <c r="K22">
        <v>0</v>
      </c>
      <c r="L22">
        <v>0</v>
      </c>
      <c r="M22">
        <v>1</v>
      </c>
      <c r="N22">
        <v>-1</v>
      </c>
      <c r="O22">
        <v>-1</v>
      </c>
      <c r="P22">
        <v>1</v>
      </c>
      <c r="Q22">
        <v>0</v>
      </c>
      <c r="R22">
        <v>1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1</v>
      </c>
      <c r="AB22">
        <v>1</v>
      </c>
      <c r="AC22">
        <v>0</v>
      </c>
      <c r="AD22">
        <v>0</v>
      </c>
      <c r="AE22">
        <v>1</v>
      </c>
      <c r="AF22">
        <v>-1</v>
      </c>
      <c r="AG22">
        <v>1</v>
      </c>
      <c r="AH22">
        <v>1</v>
      </c>
      <c r="AI22">
        <v>0</v>
      </c>
      <c r="AJ22">
        <v>0</v>
      </c>
      <c r="AK22">
        <v>0</v>
      </c>
      <c r="AL22">
        <v>1</v>
      </c>
      <c r="AM22">
        <v>1</v>
      </c>
      <c r="AN22">
        <v>0</v>
      </c>
      <c r="AO22">
        <v>1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1</v>
      </c>
      <c r="AZ22">
        <v>0</v>
      </c>
      <c r="BA22">
        <v>1</v>
      </c>
      <c r="BB22">
        <v>0</v>
      </c>
      <c r="BC22">
        <v>0</v>
      </c>
      <c r="BD22">
        <v>1</v>
      </c>
      <c r="BE22">
        <v>0</v>
      </c>
      <c r="BF22">
        <v>1</v>
      </c>
      <c r="BG22">
        <v>1</v>
      </c>
      <c r="BH22">
        <v>1</v>
      </c>
      <c r="BI22">
        <v>1</v>
      </c>
      <c r="BJ22">
        <v>0</v>
      </c>
      <c r="BK22">
        <v>0</v>
      </c>
      <c r="BL22">
        <v>1</v>
      </c>
      <c r="BM22">
        <v>0</v>
      </c>
      <c r="BN22">
        <v>1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1</v>
      </c>
      <c r="BV22">
        <v>0</v>
      </c>
      <c r="BW22">
        <v>1</v>
      </c>
      <c r="BX22">
        <v>0</v>
      </c>
      <c r="BY22">
        <v>-1</v>
      </c>
      <c r="BZ22">
        <v>0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-1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1</v>
      </c>
      <c r="CO22">
        <v>0</v>
      </c>
      <c r="CP22">
        <v>-1</v>
      </c>
      <c r="CQ22">
        <v>0</v>
      </c>
      <c r="CR22">
        <v>0</v>
      </c>
      <c r="CS22">
        <v>1</v>
      </c>
      <c r="CT22">
        <v>0</v>
      </c>
      <c r="CU22">
        <v>0</v>
      </c>
      <c r="CV22">
        <v>-1</v>
      </c>
    </row>
    <row r="23" spans="1:100">
      <c r="A23">
        <v>0</v>
      </c>
      <c r="B23">
        <v>0</v>
      </c>
      <c r="C23">
        <v>0</v>
      </c>
      <c r="D23">
        <v>1</v>
      </c>
      <c r="E23">
        <v>1</v>
      </c>
      <c r="F23">
        <v>1</v>
      </c>
      <c r="G23">
        <v>1</v>
      </c>
      <c r="H23">
        <v>0</v>
      </c>
      <c r="I23">
        <v>1</v>
      </c>
      <c r="J23">
        <v>1</v>
      </c>
      <c r="K23">
        <v>0</v>
      </c>
      <c r="L23">
        <v>0</v>
      </c>
      <c r="M23">
        <v>1</v>
      </c>
      <c r="N23">
        <v>0</v>
      </c>
      <c r="O23">
        <v>0</v>
      </c>
      <c r="P23">
        <v>1</v>
      </c>
      <c r="Q23">
        <v>0</v>
      </c>
      <c r="R23">
        <v>0</v>
      </c>
      <c r="S23">
        <v>-1</v>
      </c>
      <c r="T23">
        <v>0</v>
      </c>
      <c r="U23">
        <v>1</v>
      </c>
      <c r="V23">
        <v>1</v>
      </c>
      <c r="W23">
        <v>1</v>
      </c>
      <c r="X23">
        <v>-1</v>
      </c>
      <c r="Y23">
        <v>0</v>
      </c>
      <c r="Z23">
        <v>1</v>
      </c>
      <c r="AA23">
        <v>1</v>
      </c>
      <c r="AB23">
        <v>-1</v>
      </c>
      <c r="AC23">
        <v>0</v>
      </c>
      <c r="AD23">
        <v>0</v>
      </c>
      <c r="AE23">
        <v>1</v>
      </c>
      <c r="AF23">
        <v>1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-1</v>
      </c>
      <c r="AR23">
        <v>-1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</v>
      </c>
      <c r="AZ23">
        <v>1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1</v>
      </c>
      <c r="BJ23">
        <v>0</v>
      </c>
      <c r="BK23">
        <v>1</v>
      </c>
      <c r="BL23">
        <v>0</v>
      </c>
      <c r="BM23">
        <v>1</v>
      </c>
      <c r="BN23">
        <v>0</v>
      </c>
      <c r="BO23">
        <v>0</v>
      </c>
      <c r="BP23">
        <v>1</v>
      </c>
      <c r="BQ23">
        <v>1</v>
      </c>
      <c r="BR23">
        <v>-1</v>
      </c>
      <c r="BS23">
        <v>1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-1</v>
      </c>
      <c r="BZ23">
        <v>0</v>
      </c>
      <c r="CA23">
        <v>0</v>
      </c>
      <c r="CB23">
        <v>-1</v>
      </c>
      <c r="CC23">
        <v>1</v>
      </c>
      <c r="CD23">
        <v>0</v>
      </c>
      <c r="CE23">
        <v>-1</v>
      </c>
      <c r="CF23">
        <v>0</v>
      </c>
      <c r="CG23">
        <v>0</v>
      </c>
      <c r="CH23">
        <v>1</v>
      </c>
      <c r="CI23">
        <v>0</v>
      </c>
      <c r="CJ23">
        <v>0</v>
      </c>
      <c r="CK23">
        <v>0</v>
      </c>
      <c r="CL23">
        <v>-1</v>
      </c>
      <c r="CM23">
        <v>1</v>
      </c>
      <c r="CN23">
        <v>0</v>
      </c>
      <c r="CO23">
        <v>1</v>
      </c>
      <c r="CP23">
        <v>-1</v>
      </c>
      <c r="CQ23">
        <v>1</v>
      </c>
      <c r="CR23">
        <v>1</v>
      </c>
      <c r="CS23">
        <v>0</v>
      </c>
      <c r="CT23">
        <v>1</v>
      </c>
      <c r="CU23">
        <v>1</v>
      </c>
      <c r="CV23">
        <v>0</v>
      </c>
    </row>
    <row r="24" spans="1:1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1</v>
      </c>
      <c r="L24">
        <v>1</v>
      </c>
      <c r="M24">
        <v>1</v>
      </c>
      <c r="N24">
        <v>1</v>
      </c>
      <c r="O24">
        <v>-1</v>
      </c>
      <c r="P24">
        <v>0</v>
      </c>
      <c r="Q24">
        <v>1</v>
      </c>
      <c r="R24">
        <v>1</v>
      </c>
      <c r="S24">
        <v>0</v>
      </c>
      <c r="T24">
        <v>0</v>
      </c>
      <c r="U24">
        <v>1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1</v>
      </c>
      <c r="AC24">
        <v>1</v>
      </c>
      <c r="AD24">
        <v>0</v>
      </c>
      <c r="AE24">
        <v>0</v>
      </c>
      <c r="AF24">
        <v>1</v>
      </c>
      <c r="AG24">
        <v>-1</v>
      </c>
      <c r="AH24">
        <v>1</v>
      </c>
      <c r="AI24">
        <v>0</v>
      </c>
      <c r="AJ24">
        <v>0</v>
      </c>
      <c r="AK24">
        <v>0</v>
      </c>
      <c r="AL24">
        <v>1</v>
      </c>
      <c r="AM24">
        <v>1</v>
      </c>
      <c r="AN24">
        <v>0</v>
      </c>
      <c r="AO24">
        <v>1</v>
      </c>
      <c r="AP24">
        <v>0</v>
      </c>
      <c r="AQ24">
        <v>1</v>
      </c>
      <c r="AR24">
        <v>0</v>
      </c>
      <c r="AS24">
        <v>0</v>
      </c>
      <c r="AT24">
        <v>1</v>
      </c>
      <c r="AU24">
        <v>0</v>
      </c>
      <c r="AV24">
        <v>0</v>
      </c>
      <c r="AW24">
        <v>-1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-1</v>
      </c>
      <c r="BF24">
        <v>0</v>
      </c>
      <c r="BG24">
        <v>1</v>
      </c>
      <c r="BH24">
        <v>0</v>
      </c>
      <c r="BI24">
        <v>1</v>
      </c>
      <c r="BJ24">
        <v>1</v>
      </c>
      <c r="BK24">
        <v>0</v>
      </c>
      <c r="BL24">
        <v>1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1</v>
      </c>
      <c r="BU24">
        <v>0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0</v>
      </c>
      <c r="CG24">
        <v>1</v>
      </c>
      <c r="CH24">
        <v>0</v>
      </c>
      <c r="CI24">
        <v>0</v>
      </c>
      <c r="CJ24">
        <v>0</v>
      </c>
      <c r="CK24">
        <v>-1</v>
      </c>
      <c r="CL24">
        <v>1</v>
      </c>
      <c r="CM24">
        <v>0</v>
      </c>
      <c r="CN24">
        <v>0</v>
      </c>
      <c r="CO24">
        <v>1</v>
      </c>
      <c r="CP24">
        <v>0</v>
      </c>
      <c r="CQ24">
        <v>-1</v>
      </c>
      <c r="CR24">
        <v>0</v>
      </c>
      <c r="CS24">
        <v>0</v>
      </c>
      <c r="CT24">
        <v>0</v>
      </c>
      <c r="CU24">
        <v>0</v>
      </c>
      <c r="CV24">
        <v>0</v>
      </c>
    </row>
    <row r="25" spans="1:100">
      <c r="A25">
        <v>-1</v>
      </c>
      <c r="B25">
        <v>0</v>
      </c>
      <c r="C25">
        <v>-1</v>
      </c>
      <c r="D25">
        <v>-1</v>
      </c>
      <c r="E25">
        <v>0</v>
      </c>
      <c r="F25">
        <v>1</v>
      </c>
      <c r="G25">
        <v>0</v>
      </c>
      <c r="H25">
        <v>1</v>
      </c>
      <c r="I25">
        <v>1</v>
      </c>
      <c r="J25">
        <v>-1</v>
      </c>
      <c r="K25">
        <v>0</v>
      </c>
      <c r="L25">
        <v>1</v>
      </c>
      <c r="M25">
        <v>-1</v>
      </c>
      <c r="N25">
        <v>0</v>
      </c>
      <c r="O25">
        <v>1</v>
      </c>
      <c r="P25">
        <v>1</v>
      </c>
      <c r="Q25">
        <v>1</v>
      </c>
      <c r="R25">
        <v>0</v>
      </c>
      <c r="S25">
        <v>1</v>
      </c>
      <c r="T25">
        <v>0</v>
      </c>
      <c r="U25">
        <v>0</v>
      </c>
      <c r="V25">
        <v>0</v>
      </c>
      <c r="W25">
        <v>1</v>
      </c>
      <c r="X25">
        <v>1</v>
      </c>
      <c r="Y25">
        <v>0</v>
      </c>
      <c r="Z25">
        <v>0</v>
      </c>
      <c r="AA25">
        <v>1</v>
      </c>
      <c r="AB25">
        <v>0</v>
      </c>
      <c r="AC25">
        <v>1</v>
      </c>
      <c r="AD25">
        <v>-1</v>
      </c>
      <c r="AE25">
        <v>0</v>
      </c>
      <c r="AF25">
        <v>0</v>
      </c>
      <c r="AG25">
        <v>-1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-1</v>
      </c>
      <c r="AN25">
        <v>1</v>
      </c>
      <c r="AO25">
        <v>0</v>
      </c>
      <c r="AP25">
        <v>0</v>
      </c>
      <c r="AQ25">
        <v>1</v>
      </c>
      <c r="AR25">
        <v>-1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1</v>
      </c>
      <c r="AZ25">
        <v>0</v>
      </c>
      <c r="BA25">
        <v>0</v>
      </c>
      <c r="BB25">
        <v>-1</v>
      </c>
      <c r="BC25">
        <v>1</v>
      </c>
      <c r="BD25">
        <v>1</v>
      </c>
      <c r="BE25">
        <v>-1</v>
      </c>
      <c r="BF25">
        <v>1</v>
      </c>
      <c r="BG25">
        <v>-1</v>
      </c>
      <c r="BH25">
        <v>1</v>
      </c>
      <c r="BI25">
        <v>0</v>
      </c>
      <c r="BJ25">
        <v>-1</v>
      </c>
      <c r="BK25">
        <v>1</v>
      </c>
      <c r="BL25">
        <v>0</v>
      </c>
      <c r="BM25">
        <v>0</v>
      </c>
      <c r="BN25">
        <v>0</v>
      </c>
      <c r="BO25">
        <v>1</v>
      </c>
      <c r="BP25">
        <v>-1</v>
      </c>
      <c r="BQ25">
        <v>-1</v>
      </c>
      <c r="BR25">
        <v>0</v>
      </c>
      <c r="BS25">
        <v>1</v>
      </c>
      <c r="BT25">
        <v>1</v>
      </c>
      <c r="BU25">
        <v>1</v>
      </c>
      <c r="BV25">
        <v>1</v>
      </c>
      <c r="BW25">
        <v>0</v>
      </c>
      <c r="BX25">
        <v>-1</v>
      </c>
      <c r="BY25">
        <v>0</v>
      </c>
      <c r="BZ25">
        <v>0</v>
      </c>
      <c r="CA25">
        <v>0</v>
      </c>
      <c r="CB25">
        <v>1</v>
      </c>
      <c r="CC25">
        <v>1</v>
      </c>
      <c r="CD25">
        <v>1</v>
      </c>
      <c r="CE25">
        <v>1</v>
      </c>
      <c r="CF25">
        <v>0</v>
      </c>
      <c r="CG25">
        <v>0</v>
      </c>
      <c r="CH25">
        <v>1</v>
      </c>
      <c r="CI25">
        <v>0</v>
      </c>
      <c r="CJ25">
        <v>1</v>
      </c>
      <c r="CK25">
        <v>0</v>
      </c>
      <c r="CL25">
        <v>0</v>
      </c>
      <c r="CM25">
        <v>0</v>
      </c>
      <c r="CN25">
        <v>-1</v>
      </c>
      <c r="CO25">
        <v>1</v>
      </c>
      <c r="CP25">
        <v>0</v>
      </c>
      <c r="CQ25">
        <v>1</v>
      </c>
      <c r="CR25">
        <v>0</v>
      </c>
      <c r="CS25">
        <v>0</v>
      </c>
      <c r="CT25">
        <v>1</v>
      </c>
      <c r="CU25">
        <v>1</v>
      </c>
      <c r="CV25">
        <v>1</v>
      </c>
    </row>
    <row r="26" spans="1:100">
      <c r="A26">
        <v>0</v>
      </c>
      <c r="B26">
        <v>0</v>
      </c>
      <c r="C26">
        <v>1</v>
      </c>
      <c r="D26">
        <v>0</v>
      </c>
      <c r="E26">
        <v>1</v>
      </c>
      <c r="F26">
        <v>1</v>
      </c>
      <c r="G26">
        <v>1</v>
      </c>
      <c r="H26">
        <v>1</v>
      </c>
      <c r="I26">
        <v>0</v>
      </c>
      <c r="J26">
        <v>1</v>
      </c>
      <c r="K26">
        <v>0</v>
      </c>
      <c r="L26">
        <v>0</v>
      </c>
      <c r="M26">
        <v>1</v>
      </c>
      <c r="N26">
        <v>1</v>
      </c>
      <c r="O26">
        <v>1</v>
      </c>
      <c r="P26">
        <v>1</v>
      </c>
      <c r="Q26">
        <v>-1</v>
      </c>
      <c r="R26">
        <v>1</v>
      </c>
      <c r="S26">
        <v>0</v>
      </c>
      <c r="T26">
        <v>0</v>
      </c>
      <c r="U26">
        <v>0</v>
      </c>
      <c r="V26">
        <v>1</v>
      </c>
      <c r="W26">
        <v>0</v>
      </c>
      <c r="X26">
        <v>1</v>
      </c>
      <c r="Y26">
        <v>0</v>
      </c>
      <c r="Z26">
        <v>1</v>
      </c>
      <c r="AA26">
        <v>0</v>
      </c>
      <c r="AB26">
        <v>-1</v>
      </c>
      <c r="AC26">
        <v>0</v>
      </c>
      <c r="AD26">
        <v>0</v>
      </c>
      <c r="AE26">
        <v>1</v>
      </c>
      <c r="AF26">
        <v>1</v>
      </c>
      <c r="AG26">
        <v>1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1</v>
      </c>
      <c r="AT26">
        <v>1</v>
      </c>
      <c r="AU26">
        <v>0</v>
      </c>
      <c r="AV26">
        <v>0</v>
      </c>
      <c r="AW26">
        <v>1</v>
      </c>
      <c r="AX26">
        <v>1</v>
      </c>
      <c r="AY26">
        <v>0</v>
      </c>
      <c r="AZ26">
        <v>-1</v>
      </c>
      <c r="BA26">
        <v>0</v>
      </c>
      <c r="BB26">
        <v>1</v>
      </c>
      <c r="BC26">
        <v>0</v>
      </c>
      <c r="BD26">
        <v>1</v>
      </c>
      <c r="BE26">
        <v>0</v>
      </c>
      <c r="BF26">
        <v>1</v>
      </c>
      <c r="BG26">
        <v>0</v>
      </c>
      <c r="BH26">
        <v>1</v>
      </c>
      <c r="BI26">
        <v>-1</v>
      </c>
      <c r="BJ26">
        <v>1</v>
      </c>
      <c r="BK26">
        <v>-1</v>
      </c>
      <c r="BL26">
        <v>0</v>
      </c>
      <c r="BM26">
        <v>1</v>
      </c>
      <c r="BN26">
        <v>1</v>
      </c>
      <c r="BO26">
        <v>0</v>
      </c>
      <c r="BP26">
        <v>1</v>
      </c>
      <c r="BQ26">
        <v>0</v>
      </c>
      <c r="BR26">
        <v>0</v>
      </c>
      <c r="BS26">
        <v>1</v>
      </c>
      <c r="BT26">
        <v>0</v>
      </c>
      <c r="BU26">
        <v>1</v>
      </c>
      <c r="BV26">
        <v>-1</v>
      </c>
      <c r="BW26">
        <v>-1</v>
      </c>
      <c r="BX26">
        <v>1</v>
      </c>
      <c r="BY26">
        <v>1</v>
      </c>
      <c r="BZ26">
        <v>0</v>
      </c>
      <c r="CA26">
        <v>0</v>
      </c>
      <c r="CB26">
        <v>1</v>
      </c>
      <c r="CC26">
        <v>-1</v>
      </c>
      <c r="CD26">
        <v>0</v>
      </c>
      <c r="CE26">
        <v>1</v>
      </c>
      <c r="CF26">
        <v>1</v>
      </c>
      <c r="CG26">
        <v>1</v>
      </c>
      <c r="CH26">
        <v>0</v>
      </c>
      <c r="CI26">
        <v>0</v>
      </c>
      <c r="CJ26">
        <v>-1</v>
      </c>
      <c r="CK26">
        <v>1</v>
      </c>
      <c r="CL26">
        <v>1</v>
      </c>
      <c r="CM26">
        <v>-1</v>
      </c>
      <c r="CN26">
        <v>1</v>
      </c>
      <c r="CO26">
        <v>1</v>
      </c>
      <c r="CP26">
        <v>0</v>
      </c>
      <c r="CQ26">
        <v>1</v>
      </c>
      <c r="CR26">
        <v>0</v>
      </c>
      <c r="CS26">
        <v>1</v>
      </c>
      <c r="CT26">
        <v>0</v>
      </c>
      <c r="CU26">
        <v>0</v>
      </c>
      <c r="CV26">
        <v>1</v>
      </c>
    </row>
    <row r="27" spans="1:100">
      <c r="A27">
        <v>1</v>
      </c>
      <c r="B27">
        <v>1</v>
      </c>
      <c r="C27">
        <v>1</v>
      </c>
      <c r="D27">
        <v>0</v>
      </c>
      <c r="E27">
        <v>0</v>
      </c>
      <c r="F27">
        <v>1</v>
      </c>
      <c r="G27">
        <v>0</v>
      </c>
      <c r="H27">
        <v>1</v>
      </c>
      <c r="I27">
        <v>1</v>
      </c>
      <c r="J27">
        <v>1</v>
      </c>
      <c r="K27">
        <v>1</v>
      </c>
      <c r="L27">
        <v>-1</v>
      </c>
      <c r="M27">
        <v>1</v>
      </c>
      <c r="N27">
        <v>1</v>
      </c>
      <c r="O27">
        <v>-1</v>
      </c>
      <c r="P27">
        <v>1</v>
      </c>
      <c r="Q27">
        <v>0</v>
      </c>
      <c r="R27">
        <v>0</v>
      </c>
      <c r="S27">
        <v>1</v>
      </c>
      <c r="T27">
        <v>1</v>
      </c>
      <c r="U27">
        <v>1</v>
      </c>
      <c r="V27">
        <v>0</v>
      </c>
      <c r="W27">
        <v>1</v>
      </c>
      <c r="X27">
        <v>0</v>
      </c>
      <c r="Y27">
        <v>0</v>
      </c>
      <c r="Z27">
        <v>0</v>
      </c>
      <c r="AA27">
        <v>1</v>
      </c>
      <c r="AB27">
        <v>1</v>
      </c>
      <c r="AC27">
        <v>1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1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-1</v>
      </c>
      <c r="AS27">
        <v>0</v>
      </c>
      <c r="AT27">
        <v>0</v>
      </c>
      <c r="AU27">
        <v>0</v>
      </c>
      <c r="AV27">
        <v>-1</v>
      </c>
      <c r="AW27">
        <v>0</v>
      </c>
      <c r="AX27">
        <v>0</v>
      </c>
      <c r="AY27">
        <v>1</v>
      </c>
      <c r="AZ27">
        <v>1</v>
      </c>
      <c r="BA27">
        <v>1</v>
      </c>
      <c r="BB27">
        <v>0</v>
      </c>
      <c r="BC27">
        <v>0</v>
      </c>
      <c r="BD27">
        <v>-1</v>
      </c>
      <c r="BE27">
        <v>1</v>
      </c>
      <c r="BF27">
        <v>0</v>
      </c>
      <c r="BG27">
        <v>1</v>
      </c>
      <c r="BH27">
        <v>1</v>
      </c>
      <c r="BI27">
        <v>0</v>
      </c>
      <c r="BJ27">
        <v>1</v>
      </c>
      <c r="BK27">
        <v>1</v>
      </c>
      <c r="BL27">
        <v>1</v>
      </c>
      <c r="BM27">
        <v>0</v>
      </c>
      <c r="BN27">
        <v>1</v>
      </c>
      <c r="BO27">
        <v>0</v>
      </c>
      <c r="BP27">
        <v>-1</v>
      </c>
      <c r="BQ27">
        <v>0</v>
      </c>
      <c r="BR27">
        <v>1</v>
      </c>
      <c r="BS27">
        <v>1</v>
      </c>
      <c r="BT27">
        <v>0</v>
      </c>
      <c r="BU27">
        <v>0</v>
      </c>
      <c r="BV27">
        <v>1</v>
      </c>
      <c r="BW27">
        <v>0</v>
      </c>
      <c r="BX27">
        <v>1</v>
      </c>
      <c r="BY27">
        <v>1</v>
      </c>
      <c r="BZ27">
        <v>0</v>
      </c>
      <c r="CA27">
        <v>0</v>
      </c>
      <c r="CB27">
        <v>0</v>
      </c>
      <c r="CC27">
        <v>0</v>
      </c>
      <c r="CD27">
        <v>1</v>
      </c>
      <c r="CE27">
        <v>-1</v>
      </c>
      <c r="CF27">
        <v>0</v>
      </c>
      <c r="CG27">
        <v>1</v>
      </c>
      <c r="CH27">
        <v>1</v>
      </c>
      <c r="CI27">
        <v>0</v>
      </c>
      <c r="CJ27">
        <v>1</v>
      </c>
      <c r="CK27">
        <v>0</v>
      </c>
      <c r="CL27">
        <v>1</v>
      </c>
      <c r="CM27">
        <v>-1</v>
      </c>
      <c r="CN27">
        <v>1</v>
      </c>
      <c r="CO27">
        <v>-1</v>
      </c>
      <c r="CP27">
        <v>0</v>
      </c>
      <c r="CQ27">
        <v>0</v>
      </c>
      <c r="CR27">
        <v>1</v>
      </c>
      <c r="CS27">
        <v>1</v>
      </c>
      <c r="CT27">
        <v>1</v>
      </c>
      <c r="CU27">
        <v>1</v>
      </c>
      <c r="CV27">
        <v>0</v>
      </c>
    </row>
    <row r="28" spans="1:100">
      <c r="A28">
        <v>1</v>
      </c>
      <c r="B28">
        <v>0</v>
      </c>
      <c r="C28">
        <v>-1</v>
      </c>
      <c r="D28">
        <v>0</v>
      </c>
      <c r="E28">
        <v>1</v>
      </c>
      <c r="F28">
        <v>0</v>
      </c>
      <c r="G28">
        <v>0</v>
      </c>
      <c r="H28">
        <v>1</v>
      </c>
      <c r="I28">
        <v>0</v>
      </c>
      <c r="J28">
        <v>1</v>
      </c>
      <c r="K28">
        <v>0</v>
      </c>
      <c r="L28">
        <v>1</v>
      </c>
      <c r="M28">
        <v>1</v>
      </c>
      <c r="N28">
        <v>1</v>
      </c>
      <c r="O28">
        <v>1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-1</v>
      </c>
      <c r="W28">
        <v>1</v>
      </c>
      <c r="X28">
        <v>1</v>
      </c>
      <c r="Y28">
        <v>-1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1</v>
      </c>
      <c r="AI28">
        <v>1</v>
      </c>
      <c r="AJ28">
        <v>0</v>
      </c>
      <c r="AK28">
        <v>-1</v>
      </c>
      <c r="AL28">
        <v>0</v>
      </c>
      <c r="AM28">
        <v>0</v>
      </c>
      <c r="AN28">
        <v>0</v>
      </c>
      <c r="AO28">
        <v>-1</v>
      </c>
      <c r="AP28">
        <v>1</v>
      </c>
      <c r="AQ28">
        <v>1</v>
      </c>
      <c r="AR28">
        <v>-1</v>
      </c>
      <c r="AS28">
        <v>0</v>
      </c>
      <c r="AT28">
        <v>1</v>
      </c>
      <c r="AU28">
        <v>-1</v>
      </c>
      <c r="AV28">
        <v>0</v>
      </c>
      <c r="AW28">
        <v>1</v>
      </c>
      <c r="AX28">
        <v>0</v>
      </c>
      <c r="AY28">
        <v>0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-1</v>
      </c>
      <c r="BF28">
        <v>-1</v>
      </c>
      <c r="BG28">
        <v>1</v>
      </c>
      <c r="BH28">
        <v>0</v>
      </c>
      <c r="BI28">
        <v>1</v>
      </c>
      <c r="BJ28">
        <v>-1</v>
      </c>
      <c r="BK28">
        <v>0</v>
      </c>
      <c r="BL28">
        <v>1</v>
      </c>
      <c r="BM28">
        <v>0</v>
      </c>
      <c r="BN28">
        <v>1</v>
      </c>
      <c r="BO28">
        <v>0</v>
      </c>
      <c r="BP28">
        <v>-1</v>
      </c>
      <c r="BQ28">
        <v>1</v>
      </c>
      <c r="BR28">
        <v>0</v>
      </c>
      <c r="BS28">
        <v>0</v>
      </c>
      <c r="BT28">
        <v>1</v>
      </c>
      <c r="BU28">
        <v>1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-1</v>
      </c>
      <c r="CB28">
        <v>1</v>
      </c>
      <c r="CC28">
        <v>0</v>
      </c>
      <c r="CD28">
        <v>-1</v>
      </c>
      <c r="CE28">
        <v>0</v>
      </c>
      <c r="CF28">
        <v>0</v>
      </c>
      <c r="CG28">
        <v>1</v>
      </c>
      <c r="CH28">
        <v>1</v>
      </c>
      <c r="CI28">
        <v>0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0</v>
      </c>
      <c r="CQ28">
        <v>1</v>
      </c>
      <c r="CR28">
        <v>1</v>
      </c>
      <c r="CS28">
        <v>0</v>
      </c>
      <c r="CT28">
        <v>0</v>
      </c>
      <c r="CU28">
        <v>-1</v>
      </c>
      <c r="CV28">
        <v>0</v>
      </c>
    </row>
    <row r="29" spans="1:100">
      <c r="A29">
        <v>0</v>
      </c>
      <c r="B29">
        <v>0</v>
      </c>
      <c r="C29">
        <v>0</v>
      </c>
      <c r="D29">
        <v>1</v>
      </c>
      <c r="E29">
        <v>1</v>
      </c>
      <c r="F29">
        <v>0</v>
      </c>
      <c r="G29">
        <v>0</v>
      </c>
      <c r="H29">
        <v>1</v>
      </c>
      <c r="I29">
        <v>-1</v>
      </c>
      <c r="J29">
        <v>1</v>
      </c>
      <c r="K29">
        <v>0</v>
      </c>
      <c r="L29">
        <v>0</v>
      </c>
      <c r="M29">
        <v>1</v>
      </c>
      <c r="N29">
        <v>0</v>
      </c>
      <c r="O29">
        <v>1</v>
      </c>
      <c r="P29">
        <v>1</v>
      </c>
      <c r="Q29">
        <v>1</v>
      </c>
      <c r="R29">
        <v>1</v>
      </c>
      <c r="S29">
        <v>1</v>
      </c>
      <c r="T29">
        <v>-1</v>
      </c>
      <c r="U29">
        <v>1</v>
      </c>
      <c r="V29">
        <v>-1</v>
      </c>
      <c r="W29">
        <v>0</v>
      </c>
      <c r="X29">
        <v>0</v>
      </c>
      <c r="Y29">
        <v>-1</v>
      </c>
      <c r="Z29">
        <v>-1</v>
      </c>
      <c r="AA29">
        <v>0</v>
      </c>
      <c r="AB29">
        <v>1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1</v>
      </c>
      <c r="AL29">
        <v>1</v>
      </c>
      <c r="AM29">
        <v>0</v>
      </c>
      <c r="AN29">
        <v>0</v>
      </c>
      <c r="AO29">
        <v>-1</v>
      </c>
      <c r="AP29">
        <v>1</v>
      </c>
      <c r="AQ29">
        <v>0</v>
      </c>
      <c r="AR29">
        <v>0</v>
      </c>
      <c r="AS29">
        <v>-1</v>
      </c>
      <c r="AT29">
        <v>0</v>
      </c>
      <c r="AU29">
        <v>-1</v>
      </c>
      <c r="AV29">
        <v>1</v>
      </c>
      <c r="AW29">
        <v>0</v>
      </c>
      <c r="AX29">
        <v>0</v>
      </c>
      <c r="AY29">
        <v>1</v>
      </c>
      <c r="AZ29">
        <v>0</v>
      </c>
      <c r="BA29">
        <v>0</v>
      </c>
      <c r="BB29">
        <v>1</v>
      </c>
      <c r="BC29">
        <v>1</v>
      </c>
      <c r="BD29">
        <v>0</v>
      </c>
      <c r="BE29">
        <v>0</v>
      </c>
      <c r="BF29">
        <v>1</v>
      </c>
      <c r="BG29">
        <v>1</v>
      </c>
      <c r="BH29">
        <v>0</v>
      </c>
      <c r="BI29">
        <v>1</v>
      </c>
      <c r="BJ29">
        <v>0</v>
      </c>
      <c r="BK29">
        <v>1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-1</v>
      </c>
      <c r="BR29">
        <v>1</v>
      </c>
      <c r="BS29">
        <v>1</v>
      </c>
      <c r="BT29">
        <v>1</v>
      </c>
      <c r="BU29">
        <v>-1</v>
      </c>
      <c r="BV29">
        <v>1</v>
      </c>
      <c r="BW29">
        <v>0</v>
      </c>
      <c r="BX29">
        <v>0</v>
      </c>
      <c r="BY29">
        <v>1</v>
      </c>
      <c r="BZ29">
        <v>0</v>
      </c>
      <c r="CA29">
        <v>1</v>
      </c>
      <c r="CB29">
        <v>0</v>
      </c>
      <c r="CC29">
        <v>0</v>
      </c>
      <c r="CD29">
        <v>0</v>
      </c>
      <c r="CE29">
        <v>1</v>
      </c>
      <c r="CF29">
        <v>-1</v>
      </c>
      <c r="CG29">
        <v>1</v>
      </c>
      <c r="CH29">
        <v>0</v>
      </c>
      <c r="CI29">
        <v>1</v>
      </c>
      <c r="CJ29">
        <v>0</v>
      </c>
      <c r="CK29">
        <v>1</v>
      </c>
      <c r="CL29">
        <v>0</v>
      </c>
      <c r="CM29">
        <v>0</v>
      </c>
      <c r="CN29">
        <v>0</v>
      </c>
      <c r="CO29">
        <v>1</v>
      </c>
      <c r="CP29">
        <v>0</v>
      </c>
      <c r="CQ29">
        <v>-1</v>
      </c>
      <c r="CR29">
        <v>0</v>
      </c>
      <c r="CS29">
        <v>0</v>
      </c>
      <c r="CT29">
        <v>1</v>
      </c>
      <c r="CU29">
        <v>0</v>
      </c>
      <c r="CV29">
        <v>1</v>
      </c>
    </row>
    <row r="30" spans="1:100">
      <c r="A30">
        <v>1</v>
      </c>
      <c r="B30">
        <v>0</v>
      </c>
      <c r="C30">
        <v>-1</v>
      </c>
      <c r="D30">
        <v>0</v>
      </c>
      <c r="E30">
        <v>0</v>
      </c>
      <c r="F30">
        <v>1</v>
      </c>
      <c r="G30">
        <v>1</v>
      </c>
      <c r="H30">
        <v>0</v>
      </c>
      <c r="I30">
        <v>0</v>
      </c>
      <c r="J30">
        <v>1</v>
      </c>
      <c r="K30">
        <v>1</v>
      </c>
      <c r="L30">
        <v>0</v>
      </c>
      <c r="M30">
        <v>1</v>
      </c>
      <c r="N30">
        <v>0</v>
      </c>
      <c r="O30">
        <v>1</v>
      </c>
      <c r="P30">
        <v>0</v>
      </c>
      <c r="Q30">
        <v>-1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1</v>
      </c>
      <c r="Z30">
        <v>-1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1</v>
      </c>
      <c r="AG30">
        <v>0</v>
      </c>
      <c r="AH30">
        <v>-1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0</v>
      </c>
      <c r="AO30">
        <v>1</v>
      </c>
      <c r="AP30">
        <v>-1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1</v>
      </c>
      <c r="AX30">
        <v>0</v>
      </c>
      <c r="AY30">
        <v>1</v>
      </c>
      <c r="AZ30">
        <v>0</v>
      </c>
      <c r="BA30">
        <v>1</v>
      </c>
      <c r="BB30">
        <v>1</v>
      </c>
      <c r="BC30">
        <v>0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0</v>
      </c>
      <c r="BJ30">
        <v>1</v>
      </c>
      <c r="BK30">
        <v>1</v>
      </c>
      <c r="BL30">
        <v>0</v>
      </c>
      <c r="BM30">
        <v>-1</v>
      </c>
      <c r="BN30">
        <v>0</v>
      </c>
      <c r="BO30">
        <v>0</v>
      </c>
      <c r="BP30">
        <v>0</v>
      </c>
      <c r="BQ30">
        <v>-1</v>
      </c>
      <c r="BR30">
        <v>0</v>
      </c>
      <c r="BS30">
        <v>0</v>
      </c>
      <c r="BT30">
        <v>0</v>
      </c>
      <c r="BU30">
        <v>0</v>
      </c>
      <c r="BV30">
        <v>1</v>
      </c>
      <c r="BW30">
        <v>0</v>
      </c>
      <c r="BX30">
        <v>1</v>
      </c>
      <c r="BY30">
        <v>-1</v>
      </c>
      <c r="BZ30">
        <v>0</v>
      </c>
      <c r="CA30">
        <v>-1</v>
      </c>
      <c r="CB30">
        <v>0</v>
      </c>
      <c r="CC30">
        <v>1</v>
      </c>
      <c r="CD30">
        <v>0</v>
      </c>
      <c r="CE30">
        <v>0</v>
      </c>
      <c r="CF30">
        <v>-1</v>
      </c>
      <c r="CG30">
        <v>-1</v>
      </c>
      <c r="CH30">
        <v>1</v>
      </c>
      <c r="CI30">
        <v>0</v>
      </c>
      <c r="CJ30">
        <v>1</v>
      </c>
      <c r="CK30">
        <v>0</v>
      </c>
      <c r="CL30">
        <v>0</v>
      </c>
      <c r="CM30">
        <v>0</v>
      </c>
      <c r="CN30">
        <v>1</v>
      </c>
      <c r="CO30">
        <v>0</v>
      </c>
      <c r="CP30">
        <v>0</v>
      </c>
      <c r="CQ30">
        <v>1</v>
      </c>
      <c r="CR30">
        <v>1</v>
      </c>
      <c r="CS30">
        <v>0</v>
      </c>
      <c r="CT30">
        <v>1</v>
      </c>
      <c r="CU30">
        <v>0</v>
      </c>
      <c r="CV30">
        <v>0</v>
      </c>
    </row>
    <row r="31" spans="1:100">
      <c r="A31">
        <v>1</v>
      </c>
      <c r="B31">
        <v>1</v>
      </c>
      <c r="C31">
        <v>1</v>
      </c>
      <c r="D31">
        <v>1</v>
      </c>
      <c r="E31">
        <v>1</v>
      </c>
      <c r="F31">
        <v>0</v>
      </c>
      <c r="G31">
        <v>1</v>
      </c>
      <c r="H31">
        <v>1</v>
      </c>
      <c r="I31">
        <v>0</v>
      </c>
      <c r="J31">
        <v>1</v>
      </c>
      <c r="K31">
        <v>1</v>
      </c>
      <c r="L31">
        <v>0</v>
      </c>
      <c r="M31">
        <v>1</v>
      </c>
      <c r="N31">
        <v>0</v>
      </c>
      <c r="O31">
        <v>-1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1</v>
      </c>
      <c r="W31">
        <v>1</v>
      </c>
      <c r="X31">
        <v>-1</v>
      </c>
      <c r="Y31">
        <v>0</v>
      </c>
      <c r="Z31">
        <v>1</v>
      </c>
      <c r="AA31">
        <v>1</v>
      </c>
      <c r="AB31">
        <v>1</v>
      </c>
      <c r="AC31">
        <v>0</v>
      </c>
      <c r="AD31">
        <v>0</v>
      </c>
      <c r="AE31">
        <v>0</v>
      </c>
      <c r="AF31">
        <v>1</v>
      </c>
      <c r="AG31">
        <v>1</v>
      </c>
      <c r="AH31">
        <v>1</v>
      </c>
      <c r="AI31">
        <v>1</v>
      </c>
      <c r="AJ31">
        <v>-1</v>
      </c>
      <c r="AK31">
        <v>0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-1</v>
      </c>
      <c r="AS31">
        <v>-1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1</v>
      </c>
      <c r="BE31">
        <v>0</v>
      </c>
      <c r="BF31">
        <v>0</v>
      </c>
      <c r="BG31">
        <v>1</v>
      </c>
      <c r="BH31">
        <v>-1</v>
      </c>
      <c r="BI31">
        <v>1</v>
      </c>
      <c r="BJ31">
        <v>0</v>
      </c>
      <c r="BK31">
        <v>0</v>
      </c>
      <c r="BL31">
        <v>-1</v>
      </c>
      <c r="BM31">
        <v>0</v>
      </c>
      <c r="BN31">
        <v>1</v>
      </c>
      <c r="BO31">
        <v>1</v>
      </c>
      <c r="BP31">
        <v>1</v>
      </c>
      <c r="BQ31">
        <v>0</v>
      </c>
      <c r="BR31">
        <v>0</v>
      </c>
      <c r="BS31">
        <v>1</v>
      </c>
      <c r="BT31">
        <v>1</v>
      </c>
      <c r="BU31">
        <v>1</v>
      </c>
      <c r="BV31">
        <v>0</v>
      </c>
      <c r="BW31">
        <v>0</v>
      </c>
      <c r="BX31">
        <v>1</v>
      </c>
      <c r="BY31">
        <v>0</v>
      </c>
      <c r="BZ31">
        <v>0</v>
      </c>
      <c r="CA31">
        <v>0</v>
      </c>
      <c r="CB31">
        <v>1</v>
      </c>
      <c r="CC31">
        <v>-1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1</v>
      </c>
      <c r="CL31">
        <v>0</v>
      </c>
      <c r="CM31">
        <v>0</v>
      </c>
      <c r="CN31">
        <v>0</v>
      </c>
      <c r="CO31">
        <v>0</v>
      </c>
      <c r="CP31">
        <v>1</v>
      </c>
      <c r="CQ31">
        <v>1</v>
      </c>
      <c r="CR31">
        <v>0</v>
      </c>
      <c r="CS31">
        <v>0</v>
      </c>
      <c r="CT31">
        <v>1</v>
      </c>
      <c r="CU31">
        <v>1</v>
      </c>
      <c r="CV31">
        <v>1</v>
      </c>
    </row>
    <row r="32" spans="1:100">
      <c r="A32">
        <v>1</v>
      </c>
      <c r="B32">
        <v>0</v>
      </c>
      <c r="C32">
        <v>-1</v>
      </c>
      <c r="D32">
        <v>1</v>
      </c>
      <c r="E32">
        <v>-1</v>
      </c>
      <c r="F32">
        <v>1</v>
      </c>
      <c r="G32">
        <v>0</v>
      </c>
      <c r="H32">
        <v>1</v>
      </c>
      <c r="I32">
        <v>0</v>
      </c>
      <c r="J32">
        <v>1</v>
      </c>
      <c r="K32">
        <v>-1</v>
      </c>
      <c r="L32">
        <v>0</v>
      </c>
      <c r="M32">
        <v>-1</v>
      </c>
      <c r="N32">
        <v>0</v>
      </c>
      <c r="O32">
        <v>1</v>
      </c>
      <c r="P32">
        <v>1</v>
      </c>
      <c r="Q32">
        <v>-1</v>
      </c>
      <c r="R32">
        <v>1</v>
      </c>
      <c r="S32">
        <v>-1</v>
      </c>
      <c r="T32">
        <v>1</v>
      </c>
      <c r="U32">
        <v>-1</v>
      </c>
      <c r="V32">
        <v>0</v>
      </c>
      <c r="W32">
        <v>0</v>
      </c>
      <c r="X32">
        <v>-1</v>
      </c>
      <c r="Y32">
        <v>0</v>
      </c>
      <c r="Z32">
        <v>0</v>
      </c>
      <c r="AA32">
        <v>1</v>
      </c>
      <c r="AB32">
        <v>1</v>
      </c>
      <c r="AC32">
        <v>1</v>
      </c>
      <c r="AD32">
        <v>0</v>
      </c>
      <c r="AE32">
        <v>0</v>
      </c>
      <c r="AF32">
        <v>1</v>
      </c>
      <c r="AG32">
        <v>0</v>
      </c>
      <c r="AH32">
        <v>1</v>
      </c>
      <c r="AI32">
        <v>-1</v>
      </c>
      <c r="AJ32">
        <v>1</v>
      </c>
      <c r="AK32">
        <v>0</v>
      </c>
      <c r="AL32">
        <v>1</v>
      </c>
      <c r="AM32">
        <v>-1</v>
      </c>
      <c r="AN32">
        <v>0</v>
      </c>
      <c r="AO32">
        <v>1</v>
      </c>
      <c r="AP32">
        <v>1</v>
      </c>
      <c r="AQ32">
        <v>-1</v>
      </c>
      <c r="AR32">
        <v>1</v>
      </c>
      <c r="AS32">
        <v>0</v>
      </c>
      <c r="AT32">
        <v>0</v>
      </c>
      <c r="AU32">
        <v>1</v>
      </c>
      <c r="AV32">
        <v>0</v>
      </c>
      <c r="AW32">
        <v>1</v>
      </c>
      <c r="AX32">
        <v>0</v>
      </c>
      <c r="AY32">
        <v>1</v>
      </c>
      <c r="AZ32">
        <v>1</v>
      </c>
      <c r="BA32">
        <v>0</v>
      </c>
      <c r="BB32">
        <v>0</v>
      </c>
      <c r="BC32">
        <v>1</v>
      </c>
      <c r="BD32">
        <v>1</v>
      </c>
      <c r="BE32">
        <v>0</v>
      </c>
      <c r="BF32">
        <v>1</v>
      </c>
      <c r="BG32">
        <v>-1</v>
      </c>
      <c r="BH32">
        <v>-1</v>
      </c>
      <c r="BI32">
        <v>1</v>
      </c>
      <c r="BJ32">
        <v>0</v>
      </c>
      <c r="BK32">
        <v>1</v>
      </c>
      <c r="BL32">
        <v>0</v>
      </c>
      <c r="BM32">
        <v>0</v>
      </c>
      <c r="BN32">
        <v>0</v>
      </c>
      <c r="BO32">
        <v>0</v>
      </c>
      <c r="BP32">
        <v>1</v>
      </c>
      <c r="BQ32">
        <v>-1</v>
      </c>
      <c r="BR32">
        <v>-1</v>
      </c>
      <c r="BS32">
        <v>0</v>
      </c>
      <c r="BT32">
        <v>-1</v>
      </c>
      <c r="BU32">
        <v>0</v>
      </c>
      <c r="BV32">
        <v>1</v>
      </c>
      <c r="BW32">
        <v>0</v>
      </c>
      <c r="BX32">
        <v>1</v>
      </c>
      <c r="BY32">
        <v>-1</v>
      </c>
      <c r="BZ32">
        <v>0</v>
      </c>
      <c r="CA32">
        <v>1</v>
      </c>
      <c r="CB32">
        <v>-1</v>
      </c>
      <c r="CC32">
        <v>1</v>
      </c>
      <c r="CD32">
        <v>0</v>
      </c>
      <c r="CE32">
        <v>1</v>
      </c>
      <c r="CF32">
        <v>0</v>
      </c>
      <c r="CG32">
        <v>1</v>
      </c>
      <c r="CH32">
        <v>0</v>
      </c>
      <c r="CI32">
        <v>0</v>
      </c>
      <c r="CJ32">
        <v>0</v>
      </c>
      <c r="CK32">
        <v>1</v>
      </c>
      <c r="CL32">
        <v>0</v>
      </c>
      <c r="CM32">
        <v>-1</v>
      </c>
      <c r="CN32">
        <v>1</v>
      </c>
      <c r="CO32">
        <v>1</v>
      </c>
      <c r="CP32">
        <v>1</v>
      </c>
      <c r="CQ32">
        <v>-1</v>
      </c>
      <c r="CR32">
        <v>-1</v>
      </c>
      <c r="CS32">
        <v>1</v>
      </c>
      <c r="CT32">
        <v>1</v>
      </c>
      <c r="CU32">
        <v>0</v>
      </c>
      <c r="CV32">
        <v>0</v>
      </c>
    </row>
    <row r="33" spans="1:100">
      <c r="A33">
        <v>1</v>
      </c>
      <c r="B33">
        <v>-1</v>
      </c>
      <c r="C33">
        <v>0</v>
      </c>
      <c r="D33">
        <v>0</v>
      </c>
      <c r="E33">
        <v>0</v>
      </c>
      <c r="F33">
        <v>-1</v>
      </c>
      <c r="G33">
        <v>0</v>
      </c>
      <c r="H33">
        <v>1</v>
      </c>
      <c r="I33">
        <v>1</v>
      </c>
      <c r="J33">
        <v>0</v>
      </c>
      <c r="K33">
        <v>-1</v>
      </c>
      <c r="L33">
        <v>1</v>
      </c>
      <c r="M33">
        <v>-1</v>
      </c>
      <c r="N33">
        <v>0</v>
      </c>
      <c r="O33">
        <v>1</v>
      </c>
      <c r="P33">
        <v>1</v>
      </c>
      <c r="Q33">
        <v>0</v>
      </c>
      <c r="R33">
        <v>1</v>
      </c>
      <c r="S33">
        <v>1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1</v>
      </c>
      <c r="AA33">
        <v>1</v>
      </c>
      <c r="AB33">
        <v>0</v>
      </c>
      <c r="AC33">
        <v>1</v>
      </c>
      <c r="AD33">
        <v>1</v>
      </c>
      <c r="AE33">
        <v>-1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-1</v>
      </c>
      <c r="AR33">
        <v>-1</v>
      </c>
      <c r="AS33">
        <v>0</v>
      </c>
      <c r="AT33">
        <v>1</v>
      </c>
      <c r="AU33">
        <v>0</v>
      </c>
      <c r="AV33">
        <v>0</v>
      </c>
      <c r="AW33">
        <v>0</v>
      </c>
      <c r="AX33">
        <v>1</v>
      </c>
      <c r="AY33">
        <v>-1</v>
      </c>
      <c r="AZ33">
        <v>1</v>
      </c>
      <c r="BA33">
        <v>0</v>
      </c>
      <c r="BB33">
        <v>1</v>
      </c>
      <c r="BC33">
        <v>-1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1</v>
      </c>
      <c r="BJ33">
        <v>0</v>
      </c>
      <c r="BK33">
        <v>-1</v>
      </c>
      <c r="BL33">
        <v>0</v>
      </c>
      <c r="BM33">
        <v>0</v>
      </c>
      <c r="BN33">
        <v>-1</v>
      </c>
      <c r="BO33">
        <v>1</v>
      </c>
      <c r="BP33">
        <v>0</v>
      </c>
      <c r="BQ33">
        <v>1</v>
      </c>
      <c r="BR33">
        <v>-1</v>
      </c>
      <c r="BS33">
        <v>0</v>
      </c>
      <c r="BT33">
        <v>0</v>
      </c>
      <c r="BU33">
        <v>1</v>
      </c>
      <c r="BV33">
        <v>0</v>
      </c>
      <c r="BW33">
        <v>1</v>
      </c>
      <c r="BX33">
        <v>-1</v>
      </c>
      <c r="BY33">
        <v>1</v>
      </c>
      <c r="BZ33">
        <v>0</v>
      </c>
      <c r="CA33">
        <v>1</v>
      </c>
      <c r="CB33">
        <v>1</v>
      </c>
      <c r="CC33">
        <v>1</v>
      </c>
      <c r="CD33">
        <v>0</v>
      </c>
      <c r="CE33">
        <v>1</v>
      </c>
      <c r="CF33">
        <v>0</v>
      </c>
      <c r="CG33">
        <v>1</v>
      </c>
      <c r="CH33">
        <v>-1</v>
      </c>
      <c r="CI33">
        <v>-1</v>
      </c>
      <c r="CJ33">
        <v>1</v>
      </c>
      <c r="CK33">
        <v>0</v>
      </c>
      <c r="CL33">
        <v>1</v>
      </c>
      <c r="CM33">
        <v>1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1</v>
      </c>
    </row>
    <row r="34" spans="1:100">
      <c r="A34">
        <v>0</v>
      </c>
      <c r="B34">
        <v>0</v>
      </c>
      <c r="C34">
        <v>1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1</v>
      </c>
      <c r="K34">
        <v>1</v>
      </c>
      <c r="L34">
        <v>1</v>
      </c>
      <c r="M34">
        <v>0</v>
      </c>
      <c r="N34">
        <v>0</v>
      </c>
      <c r="O34">
        <v>0</v>
      </c>
      <c r="P34">
        <v>-1</v>
      </c>
      <c r="Q34">
        <v>1</v>
      </c>
      <c r="R34">
        <v>0</v>
      </c>
      <c r="S34">
        <v>0</v>
      </c>
      <c r="T34">
        <v>1</v>
      </c>
      <c r="U34">
        <v>0</v>
      </c>
      <c r="V34">
        <v>-1</v>
      </c>
      <c r="W34">
        <v>0</v>
      </c>
      <c r="X34">
        <v>-1</v>
      </c>
      <c r="Y34">
        <v>1</v>
      </c>
      <c r="Z34">
        <v>1</v>
      </c>
      <c r="AA34">
        <v>1</v>
      </c>
      <c r="AB34">
        <v>0</v>
      </c>
      <c r="AC34">
        <v>0</v>
      </c>
      <c r="AD34">
        <v>1</v>
      </c>
      <c r="AE34">
        <v>1</v>
      </c>
      <c r="AF34">
        <v>1</v>
      </c>
      <c r="AG34">
        <v>-1</v>
      </c>
      <c r="AH34">
        <v>0</v>
      </c>
      <c r="AI34">
        <v>0</v>
      </c>
      <c r="AJ34">
        <v>1</v>
      </c>
      <c r="AK34">
        <v>1</v>
      </c>
      <c r="AL34">
        <v>1</v>
      </c>
      <c r="AM34">
        <v>0</v>
      </c>
      <c r="AN34">
        <v>0</v>
      </c>
      <c r="AO34">
        <v>0</v>
      </c>
      <c r="AP34">
        <v>0</v>
      </c>
      <c r="AQ34">
        <v>1</v>
      </c>
      <c r="AR34">
        <v>-1</v>
      </c>
      <c r="AS34">
        <v>1</v>
      </c>
      <c r="AT34">
        <v>1</v>
      </c>
      <c r="AU34">
        <v>0</v>
      </c>
      <c r="AV34">
        <v>0</v>
      </c>
      <c r="AW34">
        <v>1</v>
      </c>
      <c r="AX34">
        <v>1</v>
      </c>
      <c r="AY34">
        <v>-1</v>
      </c>
      <c r="AZ34">
        <v>1</v>
      </c>
      <c r="BA34">
        <v>0</v>
      </c>
      <c r="BB34">
        <v>0</v>
      </c>
      <c r="BC34">
        <v>-1</v>
      </c>
      <c r="BD34">
        <v>0</v>
      </c>
      <c r="BE34">
        <v>-1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1</v>
      </c>
      <c r="BM34">
        <v>0</v>
      </c>
      <c r="BN34">
        <v>-1</v>
      </c>
      <c r="BO34">
        <v>1</v>
      </c>
      <c r="BP34">
        <v>1</v>
      </c>
      <c r="BQ34">
        <v>1</v>
      </c>
      <c r="BR34">
        <v>0</v>
      </c>
      <c r="BS34">
        <v>1</v>
      </c>
      <c r="BT34">
        <v>0</v>
      </c>
      <c r="BU34">
        <v>0</v>
      </c>
      <c r="BV34">
        <v>1</v>
      </c>
      <c r="BW34">
        <v>1</v>
      </c>
      <c r="BX34">
        <v>1</v>
      </c>
      <c r="BY34">
        <v>1</v>
      </c>
      <c r="BZ34">
        <v>-1</v>
      </c>
      <c r="CA34">
        <v>0</v>
      </c>
      <c r="CB34">
        <v>1</v>
      </c>
      <c r="CC34">
        <v>0</v>
      </c>
      <c r="CD34">
        <v>0</v>
      </c>
      <c r="CE34">
        <v>0</v>
      </c>
      <c r="CF34">
        <v>0</v>
      </c>
      <c r="CG34">
        <v>-1</v>
      </c>
      <c r="CH34">
        <v>0</v>
      </c>
      <c r="CI34">
        <v>1</v>
      </c>
      <c r="CJ34">
        <v>0</v>
      </c>
      <c r="CK34">
        <v>0</v>
      </c>
      <c r="CL34">
        <v>1</v>
      </c>
      <c r="CM34">
        <v>0</v>
      </c>
      <c r="CN34">
        <v>1</v>
      </c>
      <c r="CO34">
        <v>0</v>
      </c>
      <c r="CP34">
        <v>0</v>
      </c>
      <c r="CQ34">
        <v>1</v>
      </c>
      <c r="CR34">
        <v>1</v>
      </c>
      <c r="CS34">
        <v>0</v>
      </c>
      <c r="CT34">
        <v>0</v>
      </c>
      <c r="CU34">
        <v>1</v>
      </c>
      <c r="CV34">
        <v>0</v>
      </c>
    </row>
    <row r="35" spans="1:100">
      <c r="A35">
        <v>0</v>
      </c>
      <c r="B35">
        <v>0</v>
      </c>
      <c r="C35">
        <v>-1</v>
      </c>
      <c r="D35">
        <v>1</v>
      </c>
      <c r="E35">
        <v>1</v>
      </c>
      <c r="F35">
        <v>0</v>
      </c>
      <c r="G35">
        <v>0</v>
      </c>
      <c r="H35">
        <v>-1</v>
      </c>
      <c r="I35">
        <v>0</v>
      </c>
      <c r="J35">
        <v>0</v>
      </c>
      <c r="K35">
        <v>1</v>
      </c>
      <c r="L35">
        <v>0</v>
      </c>
      <c r="M35">
        <v>-1</v>
      </c>
      <c r="N35">
        <v>1</v>
      </c>
      <c r="O35">
        <v>0</v>
      </c>
      <c r="P35">
        <v>1</v>
      </c>
      <c r="Q35">
        <v>0</v>
      </c>
      <c r="R35">
        <v>1</v>
      </c>
      <c r="S35">
        <v>0</v>
      </c>
      <c r="T35">
        <v>-1</v>
      </c>
      <c r="U35">
        <v>0</v>
      </c>
      <c r="V35">
        <v>1</v>
      </c>
      <c r="W35">
        <v>-1</v>
      </c>
      <c r="X35">
        <v>0</v>
      </c>
      <c r="Y35">
        <v>0</v>
      </c>
      <c r="Z35">
        <v>-1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1</v>
      </c>
      <c r="AI35">
        <v>0</v>
      </c>
      <c r="AJ35">
        <v>1</v>
      </c>
      <c r="AK35">
        <v>0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-1</v>
      </c>
      <c r="AS35">
        <v>-1</v>
      </c>
      <c r="AT35">
        <v>1</v>
      </c>
      <c r="AU35">
        <v>0</v>
      </c>
      <c r="AV35">
        <v>0</v>
      </c>
      <c r="AW35">
        <v>0</v>
      </c>
      <c r="AX35">
        <v>0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-1</v>
      </c>
      <c r="BJ35">
        <v>1</v>
      </c>
      <c r="BK35">
        <v>0</v>
      </c>
      <c r="BL35">
        <v>0</v>
      </c>
      <c r="BM35">
        <v>1</v>
      </c>
      <c r="BN35">
        <v>1</v>
      </c>
      <c r="BO35">
        <v>0</v>
      </c>
      <c r="BP35">
        <v>1</v>
      </c>
      <c r="BQ35">
        <v>1</v>
      </c>
      <c r="BR35">
        <v>0</v>
      </c>
      <c r="BS35">
        <v>0</v>
      </c>
      <c r="BT35">
        <v>-1</v>
      </c>
      <c r="BU35">
        <v>0</v>
      </c>
      <c r="BV35">
        <v>0</v>
      </c>
      <c r="BW35">
        <v>1</v>
      </c>
      <c r="BX35">
        <v>-1</v>
      </c>
      <c r="BY35">
        <v>0</v>
      </c>
      <c r="BZ35">
        <v>-1</v>
      </c>
      <c r="CA35">
        <v>0</v>
      </c>
      <c r="CB35">
        <v>0</v>
      </c>
      <c r="CC35">
        <v>1</v>
      </c>
      <c r="CD35">
        <v>0</v>
      </c>
      <c r="CE35">
        <v>1</v>
      </c>
      <c r="CF35">
        <v>0</v>
      </c>
      <c r="CG35">
        <v>0</v>
      </c>
      <c r="CH35">
        <v>0</v>
      </c>
      <c r="CI35">
        <v>-1</v>
      </c>
      <c r="CJ35">
        <v>0</v>
      </c>
      <c r="CK35">
        <v>0</v>
      </c>
      <c r="CL35">
        <v>-1</v>
      </c>
      <c r="CM35">
        <v>1</v>
      </c>
      <c r="CN35">
        <v>1</v>
      </c>
      <c r="CO35">
        <v>1</v>
      </c>
      <c r="CP35">
        <v>0</v>
      </c>
      <c r="CQ35">
        <v>0</v>
      </c>
      <c r="CR35">
        <v>0</v>
      </c>
      <c r="CS35">
        <v>1</v>
      </c>
      <c r="CT35">
        <v>1</v>
      </c>
      <c r="CU35">
        <v>1</v>
      </c>
      <c r="CV35">
        <v>1</v>
      </c>
    </row>
    <row r="36" spans="1:100">
      <c r="A36">
        <v>-1</v>
      </c>
      <c r="B36">
        <v>1</v>
      </c>
      <c r="C36">
        <v>1</v>
      </c>
      <c r="D36">
        <v>1</v>
      </c>
      <c r="E36">
        <v>0</v>
      </c>
      <c r="F36">
        <v>0</v>
      </c>
      <c r="G36">
        <v>0</v>
      </c>
      <c r="H36">
        <v>0</v>
      </c>
      <c r="I36">
        <v>1</v>
      </c>
      <c r="J36">
        <v>1</v>
      </c>
      <c r="K36">
        <v>0</v>
      </c>
      <c r="L36">
        <v>0</v>
      </c>
      <c r="M36">
        <v>0</v>
      </c>
      <c r="N36">
        <v>0</v>
      </c>
      <c r="O36">
        <v>1</v>
      </c>
      <c r="P36">
        <v>1</v>
      </c>
      <c r="Q36">
        <v>-1</v>
      </c>
      <c r="R36">
        <v>1</v>
      </c>
      <c r="S36">
        <v>1</v>
      </c>
      <c r="T36">
        <v>0</v>
      </c>
      <c r="U36">
        <v>0</v>
      </c>
      <c r="V36">
        <v>0</v>
      </c>
      <c r="W36">
        <v>0</v>
      </c>
      <c r="X36">
        <v>1</v>
      </c>
      <c r="Y36">
        <v>1</v>
      </c>
      <c r="Z36">
        <v>1</v>
      </c>
      <c r="AA36">
        <v>0</v>
      </c>
      <c r="AB36">
        <v>0</v>
      </c>
      <c r="AC36">
        <v>0</v>
      </c>
      <c r="AD36">
        <v>1</v>
      </c>
      <c r="AE36">
        <v>1</v>
      </c>
      <c r="AF36">
        <v>0</v>
      </c>
      <c r="AG36">
        <v>1</v>
      </c>
      <c r="AH36">
        <v>0</v>
      </c>
      <c r="AI36">
        <v>1</v>
      </c>
      <c r="AJ36">
        <v>0</v>
      </c>
      <c r="AK36">
        <v>0</v>
      </c>
      <c r="AL36">
        <v>1</v>
      </c>
      <c r="AM36">
        <v>0</v>
      </c>
      <c r="AN36">
        <v>0</v>
      </c>
      <c r="AO36">
        <v>0</v>
      </c>
      <c r="AP36">
        <v>1</v>
      </c>
      <c r="AQ36">
        <v>1</v>
      </c>
      <c r="AR36">
        <v>0</v>
      </c>
      <c r="AS36">
        <v>-1</v>
      </c>
      <c r="AT36">
        <v>0</v>
      </c>
      <c r="AU36">
        <v>0</v>
      </c>
      <c r="AV36">
        <v>-1</v>
      </c>
      <c r="AW36">
        <v>-1</v>
      </c>
      <c r="AX36">
        <v>0</v>
      </c>
      <c r="AY36">
        <v>0</v>
      </c>
      <c r="AZ36">
        <v>1</v>
      </c>
      <c r="BA36">
        <v>1</v>
      </c>
      <c r="BB36">
        <v>0</v>
      </c>
      <c r="BC36">
        <v>1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0</v>
      </c>
      <c r="BL36">
        <v>1</v>
      </c>
      <c r="BM36">
        <v>0</v>
      </c>
      <c r="BN36">
        <v>0</v>
      </c>
      <c r="BO36">
        <v>0</v>
      </c>
      <c r="BP36">
        <v>1</v>
      </c>
      <c r="BQ36">
        <v>1</v>
      </c>
      <c r="BR36">
        <v>0</v>
      </c>
      <c r="BS36">
        <v>1</v>
      </c>
      <c r="BT36">
        <v>1</v>
      </c>
      <c r="BU36">
        <v>-1</v>
      </c>
      <c r="BV36">
        <v>0</v>
      </c>
      <c r="BW36">
        <v>-1</v>
      </c>
      <c r="BX36">
        <v>0</v>
      </c>
      <c r="BY36">
        <v>0</v>
      </c>
      <c r="BZ36">
        <v>1</v>
      </c>
      <c r="CA36">
        <v>-1</v>
      </c>
      <c r="CB36">
        <v>0</v>
      </c>
      <c r="CC36">
        <v>-1</v>
      </c>
      <c r="CD36">
        <v>1</v>
      </c>
      <c r="CE36">
        <v>1</v>
      </c>
      <c r="CF36">
        <v>1</v>
      </c>
      <c r="CG36">
        <v>1</v>
      </c>
      <c r="CH36">
        <v>0</v>
      </c>
      <c r="CI36">
        <v>1</v>
      </c>
      <c r="CJ36">
        <v>1</v>
      </c>
      <c r="CK36">
        <v>1</v>
      </c>
      <c r="CL36">
        <v>0</v>
      </c>
      <c r="CM36">
        <v>0</v>
      </c>
      <c r="CN36">
        <v>1</v>
      </c>
      <c r="CO36">
        <v>0</v>
      </c>
      <c r="CP36">
        <v>-1</v>
      </c>
      <c r="CQ36">
        <v>1</v>
      </c>
      <c r="CR36">
        <v>0</v>
      </c>
      <c r="CS36">
        <v>1</v>
      </c>
      <c r="CT36">
        <v>1</v>
      </c>
      <c r="CU36">
        <v>0</v>
      </c>
      <c r="CV36">
        <v>0</v>
      </c>
    </row>
    <row r="37" spans="1:100">
      <c r="A37">
        <v>0</v>
      </c>
      <c r="B37">
        <v>0</v>
      </c>
      <c r="C37">
        <v>1</v>
      </c>
      <c r="D37">
        <v>1</v>
      </c>
      <c r="E37">
        <v>0</v>
      </c>
      <c r="F37">
        <v>0</v>
      </c>
      <c r="G37">
        <v>0</v>
      </c>
      <c r="H37">
        <v>0</v>
      </c>
      <c r="I37">
        <v>1</v>
      </c>
      <c r="J37">
        <v>1</v>
      </c>
      <c r="K37">
        <v>0</v>
      </c>
      <c r="L37">
        <v>0</v>
      </c>
      <c r="M37">
        <v>0</v>
      </c>
      <c r="N37">
        <v>1</v>
      </c>
      <c r="O37">
        <v>0</v>
      </c>
      <c r="P37">
        <v>1</v>
      </c>
      <c r="Q37">
        <v>0</v>
      </c>
      <c r="R37">
        <v>1</v>
      </c>
      <c r="S37">
        <v>0</v>
      </c>
      <c r="T37">
        <v>1</v>
      </c>
      <c r="U37">
        <v>1</v>
      </c>
      <c r="V37">
        <v>1</v>
      </c>
      <c r="W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1</v>
      </c>
      <c r="AD37">
        <v>1</v>
      </c>
      <c r="AE37">
        <v>1</v>
      </c>
      <c r="AF37">
        <v>1</v>
      </c>
      <c r="AG37">
        <v>0</v>
      </c>
      <c r="AH37">
        <v>0</v>
      </c>
      <c r="AI37">
        <v>1</v>
      </c>
      <c r="AJ37">
        <v>-1</v>
      </c>
      <c r="AK37">
        <v>1</v>
      </c>
      <c r="AL37">
        <v>1</v>
      </c>
      <c r="AM37">
        <v>1</v>
      </c>
      <c r="AN37">
        <v>1</v>
      </c>
      <c r="AO37">
        <v>0</v>
      </c>
      <c r="AP37">
        <v>0</v>
      </c>
      <c r="AQ37">
        <v>1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  <c r="AZ37">
        <v>0</v>
      </c>
      <c r="BA37">
        <v>0</v>
      </c>
      <c r="BB37">
        <v>1</v>
      </c>
      <c r="BC37">
        <v>1</v>
      </c>
      <c r="BD37">
        <v>-1</v>
      </c>
      <c r="BE37">
        <v>0</v>
      </c>
      <c r="BF37">
        <v>1</v>
      </c>
      <c r="BG37">
        <v>1</v>
      </c>
      <c r="BH37">
        <v>-1</v>
      </c>
      <c r="BI37">
        <v>0</v>
      </c>
      <c r="BJ37">
        <v>0</v>
      </c>
      <c r="BK37">
        <v>0</v>
      </c>
      <c r="BL37">
        <v>1</v>
      </c>
      <c r="BM37">
        <v>1</v>
      </c>
      <c r="BN37">
        <v>1</v>
      </c>
      <c r="BO37">
        <v>-1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1</v>
      </c>
      <c r="BX37">
        <v>0</v>
      </c>
      <c r="BY37">
        <v>0</v>
      </c>
      <c r="BZ37">
        <v>1</v>
      </c>
      <c r="CA37">
        <v>1</v>
      </c>
      <c r="CB37">
        <v>1</v>
      </c>
      <c r="CC37">
        <v>0</v>
      </c>
      <c r="CD37">
        <v>0</v>
      </c>
      <c r="CE37">
        <v>1</v>
      </c>
      <c r="CF37">
        <v>0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0</v>
      </c>
      <c r="CM37">
        <v>0</v>
      </c>
      <c r="CN37">
        <v>0</v>
      </c>
      <c r="CO37">
        <v>1</v>
      </c>
      <c r="CP37">
        <v>0</v>
      </c>
      <c r="CQ37">
        <v>1</v>
      </c>
      <c r="CR37">
        <v>1</v>
      </c>
      <c r="CS37">
        <v>1</v>
      </c>
      <c r="CT37">
        <v>0</v>
      </c>
      <c r="CU37">
        <v>0</v>
      </c>
      <c r="CV37">
        <v>0</v>
      </c>
    </row>
    <row r="38" spans="1:100">
      <c r="A38">
        <v>1</v>
      </c>
      <c r="B38">
        <v>0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1</v>
      </c>
      <c r="N38">
        <v>0</v>
      </c>
      <c r="O38">
        <v>1</v>
      </c>
      <c r="P38">
        <v>1</v>
      </c>
      <c r="Q38">
        <v>1</v>
      </c>
      <c r="R38">
        <v>1</v>
      </c>
      <c r="S38">
        <v>1</v>
      </c>
      <c r="T38">
        <v>0</v>
      </c>
      <c r="U38">
        <v>0</v>
      </c>
      <c r="V38">
        <v>-1</v>
      </c>
      <c r="W38">
        <v>1</v>
      </c>
      <c r="X38">
        <v>0</v>
      </c>
      <c r="Y38">
        <v>0</v>
      </c>
      <c r="Z38">
        <v>1</v>
      </c>
      <c r="AA38">
        <v>0</v>
      </c>
      <c r="AB38">
        <v>0</v>
      </c>
      <c r="AC38">
        <v>-1</v>
      </c>
      <c r="AD38">
        <v>1</v>
      </c>
      <c r="AE38">
        <v>0</v>
      </c>
      <c r="AF38">
        <v>1</v>
      </c>
      <c r="AG38">
        <v>-1</v>
      </c>
      <c r="AH38">
        <v>-1</v>
      </c>
      <c r="AI38">
        <v>0</v>
      </c>
      <c r="AJ38">
        <v>0</v>
      </c>
      <c r="AK38">
        <v>0</v>
      </c>
      <c r="AL38">
        <v>1</v>
      </c>
      <c r="AM38">
        <v>1</v>
      </c>
      <c r="AN38">
        <v>-1</v>
      </c>
      <c r="AO38">
        <v>0</v>
      </c>
      <c r="AP38">
        <v>-1</v>
      </c>
      <c r="AQ38">
        <v>1</v>
      </c>
      <c r="AR38">
        <v>1</v>
      </c>
      <c r="AS38">
        <v>0</v>
      </c>
      <c r="AT38">
        <v>0</v>
      </c>
      <c r="AU38">
        <v>0</v>
      </c>
      <c r="AV38">
        <v>-1</v>
      </c>
      <c r="AW38">
        <v>0</v>
      </c>
      <c r="AX38">
        <v>0</v>
      </c>
      <c r="AY38">
        <v>-1</v>
      </c>
      <c r="AZ38">
        <v>1</v>
      </c>
      <c r="BA38">
        <v>0</v>
      </c>
      <c r="BB38">
        <v>1</v>
      </c>
      <c r="BC38">
        <v>0</v>
      </c>
      <c r="BD38">
        <v>0</v>
      </c>
      <c r="BE38">
        <v>1</v>
      </c>
      <c r="BF38">
        <v>0</v>
      </c>
      <c r="BG38">
        <v>1</v>
      </c>
      <c r="BH38">
        <v>1</v>
      </c>
      <c r="BI38">
        <v>0</v>
      </c>
      <c r="BJ38">
        <v>-1</v>
      </c>
      <c r="BK38">
        <v>1</v>
      </c>
      <c r="BL38">
        <v>1</v>
      </c>
      <c r="BM38">
        <v>1</v>
      </c>
      <c r="BN38">
        <v>0</v>
      </c>
      <c r="BO38">
        <v>0</v>
      </c>
      <c r="BP38">
        <v>0</v>
      </c>
      <c r="BQ38">
        <v>1</v>
      </c>
      <c r="BR38">
        <v>1</v>
      </c>
      <c r="BS38">
        <v>1</v>
      </c>
      <c r="BT38">
        <v>1</v>
      </c>
      <c r="BU38">
        <v>0</v>
      </c>
      <c r="BV38">
        <v>-1</v>
      </c>
      <c r="BW38">
        <v>0</v>
      </c>
      <c r="BX38">
        <v>1</v>
      </c>
      <c r="BY38">
        <v>1</v>
      </c>
      <c r="BZ38">
        <v>0</v>
      </c>
      <c r="CA38">
        <v>-1</v>
      </c>
      <c r="CB38">
        <v>1</v>
      </c>
      <c r="CC38">
        <v>0</v>
      </c>
      <c r="CD38">
        <v>1</v>
      </c>
      <c r="CE38">
        <v>-1</v>
      </c>
      <c r="CF38">
        <v>-1</v>
      </c>
      <c r="CG38">
        <v>0</v>
      </c>
      <c r="CH38">
        <v>1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1</v>
      </c>
      <c r="CO38">
        <v>-1</v>
      </c>
      <c r="CP38">
        <v>0</v>
      </c>
      <c r="CQ38">
        <v>1</v>
      </c>
      <c r="CR38">
        <v>-1</v>
      </c>
      <c r="CS38">
        <v>-1</v>
      </c>
      <c r="CT38">
        <v>0</v>
      </c>
      <c r="CU38">
        <v>1</v>
      </c>
      <c r="CV38">
        <v>0</v>
      </c>
    </row>
    <row r="39" spans="1:100">
      <c r="A39">
        <v>0</v>
      </c>
      <c r="B39">
        <v>1</v>
      </c>
      <c r="C39">
        <v>0</v>
      </c>
      <c r="D39">
        <v>0</v>
      </c>
      <c r="E39">
        <v>1</v>
      </c>
      <c r="F39">
        <v>0</v>
      </c>
      <c r="G39">
        <v>0</v>
      </c>
      <c r="H39">
        <v>1</v>
      </c>
      <c r="I39">
        <v>0</v>
      </c>
      <c r="J39">
        <v>1</v>
      </c>
      <c r="K39">
        <v>1</v>
      </c>
      <c r="L39">
        <v>1</v>
      </c>
      <c r="M39">
        <v>1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-1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0</v>
      </c>
      <c r="AC39">
        <v>1</v>
      </c>
      <c r="AD39">
        <v>1</v>
      </c>
      <c r="AE39">
        <v>0</v>
      </c>
      <c r="AF39">
        <v>-1</v>
      </c>
      <c r="AG39">
        <v>-1</v>
      </c>
      <c r="AH39">
        <v>0</v>
      </c>
      <c r="AI39">
        <v>0</v>
      </c>
      <c r="AJ39">
        <v>0</v>
      </c>
      <c r="AK39">
        <v>-1</v>
      </c>
      <c r="AL39">
        <v>0</v>
      </c>
      <c r="AM39">
        <v>1</v>
      </c>
      <c r="AN39">
        <v>1</v>
      </c>
      <c r="AO39">
        <v>-1</v>
      </c>
      <c r="AP39">
        <v>0</v>
      </c>
      <c r="AQ39">
        <v>0</v>
      </c>
      <c r="AR39">
        <v>1</v>
      </c>
      <c r="AS39">
        <v>0</v>
      </c>
      <c r="AT39">
        <v>0</v>
      </c>
      <c r="AU39">
        <v>1</v>
      </c>
      <c r="AV39">
        <v>1</v>
      </c>
      <c r="AW39">
        <v>1</v>
      </c>
      <c r="AX39">
        <v>1</v>
      </c>
      <c r="AY39">
        <v>0</v>
      </c>
      <c r="AZ39">
        <v>1</v>
      </c>
      <c r="BA39">
        <v>0</v>
      </c>
      <c r="BB39">
        <v>0</v>
      </c>
      <c r="BC39">
        <v>0</v>
      </c>
      <c r="BD39">
        <v>0</v>
      </c>
      <c r="BE39">
        <v>1</v>
      </c>
      <c r="BF39">
        <v>0</v>
      </c>
      <c r="BG39">
        <v>0</v>
      </c>
      <c r="BH39">
        <v>-1</v>
      </c>
      <c r="BI39">
        <v>1</v>
      </c>
      <c r="BJ39">
        <v>0</v>
      </c>
      <c r="BK39">
        <v>0</v>
      </c>
      <c r="BL39">
        <v>1</v>
      </c>
      <c r="BM39">
        <v>1</v>
      </c>
      <c r="BN39">
        <v>0</v>
      </c>
      <c r="BO39">
        <v>1</v>
      </c>
      <c r="BP39">
        <v>0</v>
      </c>
      <c r="BQ39">
        <v>1</v>
      </c>
      <c r="BR39">
        <v>1</v>
      </c>
      <c r="BS39">
        <v>0</v>
      </c>
      <c r="BT39">
        <v>0</v>
      </c>
      <c r="BU39">
        <v>0</v>
      </c>
      <c r="BV39">
        <v>1</v>
      </c>
      <c r="BW39">
        <v>1</v>
      </c>
      <c r="BX39">
        <v>0</v>
      </c>
      <c r="BY39">
        <v>1</v>
      </c>
      <c r="BZ39">
        <v>0</v>
      </c>
      <c r="CA39">
        <v>0</v>
      </c>
      <c r="CB39">
        <v>0</v>
      </c>
      <c r="CC39">
        <v>1</v>
      </c>
      <c r="CD39">
        <v>0</v>
      </c>
      <c r="CE39">
        <v>1</v>
      </c>
      <c r="CF39">
        <v>0</v>
      </c>
      <c r="CG39">
        <v>0</v>
      </c>
      <c r="CH39">
        <v>1</v>
      </c>
      <c r="CI39">
        <v>0</v>
      </c>
      <c r="CJ39">
        <v>1</v>
      </c>
      <c r="CK39">
        <v>0</v>
      </c>
      <c r="CL39">
        <v>0</v>
      </c>
      <c r="CM39">
        <v>0</v>
      </c>
      <c r="CN39">
        <v>0</v>
      </c>
      <c r="CO39">
        <v>1</v>
      </c>
      <c r="CP39">
        <v>1</v>
      </c>
      <c r="CQ39">
        <v>0</v>
      </c>
      <c r="CR39">
        <v>0</v>
      </c>
      <c r="CS39">
        <v>-1</v>
      </c>
      <c r="CT39">
        <v>1</v>
      </c>
      <c r="CU39">
        <v>0</v>
      </c>
      <c r="CV39">
        <v>-1</v>
      </c>
    </row>
    <row r="40" spans="1:100">
      <c r="A40">
        <v>1</v>
      </c>
      <c r="B40">
        <v>0</v>
      </c>
      <c r="C40">
        <v>1</v>
      </c>
      <c r="D40">
        <v>1</v>
      </c>
      <c r="E40">
        <v>1</v>
      </c>
      <c r="F40">
        <v>-1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1</v>
      </c>
      <c r="P40">
        <v>1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1</v>
      </c>
      <c r="AB40">
        <v>-1</v>
      </c>
      <c r="AC40">
        <v>1</v>
      </c>
      <c r="AD40">
        <v>0</v>
      </c>
      <c r="AE40">
        <v>0</v>
      </c>
      <c r="AF40">
        <v>0</v>
      </c>
      <c r="AG40">
        <v>1</v>
      </c>
      <c r="AH40">
        <v>1</v>
      </c>
      <c r="AI40">
        <v>1</v>
      </c>
      <c r="AJ40">
        <v>0</v>
      </c>
      <c r="AK40">
        <v>0</v>
      </c>
      <c r="AL40">
        <v>0</v>
      </c>
      <c r="AM40">
        <v>1</v>
      </c>
      <c r="AN40">
        <v>1</v>
      </c>
      <c r="AO40">
        <v>1</v>
      </c>
      <c r="AP40">
        <v>-1</v>
      </c>
      <c r="AQ40">
        <v>0</v>
      </c>
      <c r="AR40">
        <v>1</v>
      </c>
      <c r="AS40">
        <v>0</v>
      </c>
      <c r="AT40">
        <v>1</v>
      </c>
      <c r="AU40">
        <v>0</v>
      </c>
      <c r="AV40">
        <v>1</v>
      </c>
      <c r="AW40">
        <v>0</v>
      </c>
      <c r="AX40">
        <v>1</v>
      </c>
      <c r="AY40">
        <v>-1</v>
      </c>
      <c r="AZ40">
        <v>1</v>
      </c>
      <c r="BA40">
        <v>0</v>
      </c>
      <c r="BB40">
        <v>1</v>
      </c>
      <c r="BC40">
        <v>1</v>
      </c>
      <c r="BD40">
        <v>1</v>
      </c>
      <c r="BE40">
        <v>1</v>
      </c>
      <c r="BF40">
        <v>0</v>
      </c>
      <c r="BG40">
        <v>0</v>
      </c>
      <c r="BH40">
        <v>0</v>
      </c>
      <c r="BI40">
        <v>-1</v>
      </c>
      <c r="BJ40">
        <v>0</v>
      </c>
      <c r="BK40">
        <v>1</v>
      </c>
      <c r="BL40">
        <v>1</v>
      </c>
      <c r="BM40">
        <v>1</v>
      </c>
      <c r="BN40">
        <v>0</v>
      </c>
      <c r="BO40">
        <v>0</v>
      </c>
      <c r="BP40">
        <v>-1</v>
      </c>
      <c r="BQ40">
        <v>0</v>
      </c>
      <c r="BR40">
        <v>0</v>
      </c>
      <c r="BS40">
        <v>1</v>
      </c>
      <c r="BT40">
        <v>1</v>
      </c>
      <c r="BU40">
        <v>0</v>
      </c>
      <c r="BV40">
        <v>0</v>
      </c>
      <c r="BW40">
        <v>1</v>
      </c>
      <c r="BX40">
        <v>0</v>
      </c>
      <c r="BY40">
        <v>1</v>
      </c>
      <c r="BZ40">
        <v>1</v>
      </c>
      <c r="CA40">
        <v>0</v>
      </c>
      <c r="CB40">
        <v>1</v>
      </c>
      <c r="CC40">
        <v>0</v>
      </c>
      <c r="CD40">
        <v>1</v>
      </c>
      <c r="CE40">
        <v>1</v>
      </c>
      <c r="CF40">
        <v>1</v>
      </c>
      <c r="CG40">
        <v>1</v>
      </c>
      <c r="CH40">
        <v>-1</v>
      </c>
      <c r="CI40">
        <v>0</v>
      </c>
      <c r="CJ40">
        <v>1</v>
      </c>
      <c r="CK40">
        <v>0</v>
      </c>
      <c r="CL40">
        <v>0</v>
      </c>
      <c r="CM40">
        <v>1</v>
      </c>
      <c r="CN40">
        <v>-1</v>
      </c>
      <c r="CO40">
        <v>0</v>
      </c>
      <c r="CP40">
        <v>0</v>
      </c>
      <c r="CQ40">
        <v>1</v>
      </c>
      <c r="CR40">
        <v>0</v>
      </c>
      <c r="CS40">
        <v>0</v>
      </c>
      <c r="CT40">
        <v>0</v>
      </c>
      <c r="CU40">
        <v>1</v>
      </c>
      <c r="CV40">
        <v>1</v>
      </c>
    </row>
    <row r="41" spans="1:100">
      <c r="A41">
        <v>1</v>
      </c>
      <c r="B41">
        <v>0</v>
      </c>
      <c r="C41">
        <v>-1</v>
      </c>
      <c r="D41">
        <v>1</v>
      </c>
      <c r="E41">
        <v>1</v>
      </c>
      <c r="F41">
        <v>-1</v>
      </c>
      <c r="G41">
        <v>0</v>
      </c>
      <c r="H41">
        <v>0</v>
      </c>
      <c r="I41">
        <v>1</v>
      </c>
      <c r="J41">
        <v>0</v>
      </c>
      <c r="K41">
        <v>1</v>
      </c>
      <c r="L41">
        <v>1</v>
      </c>
      <c r="M41">
        <v>1</v>
      </c>
      <c r="N41">
        <v>0</v>
      </c>
      <c r="O41">
        <v>1</v>
      </c>
      <c r="P41">
        <v>0</v>
      </c>
      <c r="Q41">
        <v>1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1</v>
      </c>
      <c r="AB41">
        <v>1</v>
      </c>
      <c r="AC41">
        <v>0</v>
      </c>
      <c r="AD41">
        <v>1</v>
      </c>
      <c r="AE41">
        <v>0</v>
      </c>
      <c r="AF41">
        <v>1</v>
      </c>
      <c r="AG41">
        <v>0</v>
      </c>
      <c r="AH41">
        <v>1</v>
      </c>
      <c r="AI41">
        <v>0</v>
      </c>
      <c r="AJ41">
        <v>0</v>
      </c>
      <c r="AK41">
        <v>-1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1</v>
      </c>
      <c r="AR41">
        <v>0</v>
      </c>
      <c r="AS41">
        <v>0</v>
      </c>
      <c r="AT41">
        <v>0</v>
      </c>
      <c r="AU41">
        <v>1</v>
      </c>
      <c r="AV41">
        <v>1</v>
      </c>
      <c r="AW41">
        <v>0</v>
      </c>
      <c r="AX41">
        <v>1</v>
      </c>
      <c r="AY41">
        <v>1</v>
      </c>
      <c r="AZ41">
        <v>1</v>
      </c>
      <c r="BA41">
        <v>1</v>
      </c>
      <c r="BB41">
        <v>0</v>
      </c>
      <c r="BC41">
        <v>1</v>
      </c>
      <c r="BD41">
        <v>0</v>
      </c>
      <c r="BE41">
        <v>1</v>
      </c>
      <c r="BF41">
        <v>1</v>
      </c>
      <c r="BG41">
        <v>1</v>
      </c>
      <c r="BH41">
        <v>1</v>
      </c>
      <c r="BI41">
        <v>0</v>
      </c>
      <c r="BJ41">
        <v>0</v>
      </c>
      <c r="BK41">
        <v>1</v>
      </c>
      <c r="BL41">
        <v>1</v>
      </c>
      <c r="BM41">
        <v>-1</v>
      </c>
      <c r="BN41">
        <v>0</v>
      </c>
      <c r="BO41">
        <v>0</v>
      </c>
      <c r="BP41">
        <v>0</v>
      </c>
      <c r="BQ41">
        <v>0</v>
      </c>
      <c r="BR41">
        <v>1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1</v>
      </c>
      <c r="BY41">
        <v>1</v>
      </c>
      <c r="BZ41">
        <v>1</v>
      </c>
      <c r="CA41">
        <v>0</v>
      </c>
      <c r="CB41">
        <v>0</v>
      </c>
      <c r="CC41">
        <v>0</v>
      </c>
      <c r="CD41">
        <v>1</v>
      </c>
      <c r="CE41">
        <v>1</v>
      </c>
      <c r="CF41">
        <v>1</v>
      </c>
      <c r="CG41">
        <v>0</v>
      </c>
      <c r="CH41">
        <v>1</v>
      </c>
      <c r="CI41">
        <v>1</v>
      </c>
      <c r="CJ41">
        <v>0</v>
      </c>
      <c r="CK41">
        <v>0</v>
      </c>
      <c r="CL41">
        <v>0</v>
      </c>
      <c r="CM41">
        <v>1</v>
      </c>
      <c r="CN41">
        <v>0</v>
      </c>
      <c r="CO41">
        <v>0</v>
      </c>
      <c r="CP41">
        <v>0</v>
      </c>
      <c r="CQ41">
        <v>0</v>
      </c>
      <c r="CR41">
        <v>-1</v>
      </c>
      <c r="CS41">
        <v>0</v>
      </c>
      <c r="CT41">
        <v>0</v>
      </c>
      <c r="CU41">
        <v>0</v>
      </c>
      <c r="CV41">
        <v>1</v>
      </c>
    </row>
    <row r="42" spans="1:100">
      <c r="A42">
        <v>-1</v>
      </c>
      <c r="B42">
        <v>0</v>
      </c>
      <c r="C42">
        <v>1</v>
      </c>
      <c r="D42">
        <v>-1</v>
      </c>
      <c r="E42">
        <v>1</v>
      </c>
      <c r="F42">
        <v>1</v>
      </c>
      <c r="G42">
        <v>1</v>
      </c>
      <c r="H42">
        <v>1</v>
      </c>
      <c r="I42">
        <v>0</v>
      </c>
      <c r="J42">
        <v>0</v>
      </c>
      <c r="K42">
        <v>1</v>
      </c>
      <c r="L42">
        <v>0</v>
      </c>
      <c r="M42">
        <v>0</v>
      </c>
      <c r="N42">
        <v>1</v>
      </c>
      <c r="O42">
        <v>1</v>
      </c>
      <c r="P42">
        <v>1</v>
      </c>
      <c r="Q42">
        <v>1</v>
      </c>
      <c r="R42">
        <v>-1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1</v>
      </c>
      <c r="AB42">
        <v>-1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1</v>
      </c>
      <c r="AL42">
        <v>1</v>
      </c>
      <c r="AM42">
        <v>0</v>
      </c>
      <c r="AN42">
        <v>0</v>
      </c>
      <c r="AO42">
        <v>1</v>
      </c>
      <c r="AP42">
        <v>1</v>
      </c>
      <c r="AQ42">
        <v>1</v>
      </c>
      <c r="AR42">
        <v>0</v>
      </c>
      <c r="AS42">
        <v>1</v>
      </c>
      <c r="AT42">
        <v>0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0</v>
      </c>
      <c r="BC42">
        <v>1</v>
      </c>
      <c r="BD42">
        <v>0</v>
      </c>
      <c r="BE42">
        <v>1</v>
      </c>
      <c r="BF42">
        <v>0</v>
      </c>
      <c r="BG42">
        <v>0</v>
      </c>
      <c r="BH42">
        <v>1</v>
      </c>
      <c r="BI42">
        <v>1</v>
      </c>
      <c r="BJ42">
        <v>0</v>
      </c>
      <c r="BK42">
        <v>0</v>
      </c>
      <c r="BL42">
        <v>1</v>
      </c>
      <c r="BM42">
        <v>1</v>
      </c>
      <c r="BN42">
        <v>0</v>
      </c>
      <c r="BO42">
        <v>0</v>
      </c>
      <c r="BP42">
        <v>0</v>
      </c>
      <c r="BQ42">
        <v>1</v>
      </c>
      <c r="BR42">
        <v>0</v>
      </c>
      <c r="BS42">
        <v>1</v>
      </c>
      <c r="BT42">
        <v>0</v>
      </c>
      <c r="BU42">
        <v>1</v>
      </c>
      <c r="BV42">
        <v>0</v>
      </c>
      <c r="BW42">
        <v>0</v>
      </c>
      <c r="BX42">
        <v>-1</v>
      </c>
      <c r="BY42">
        <v>1</v>
      </c>
      <c r="BZ42">
        <v>0</v>
      </c>
      <c r="CA42">
        <v>1</v>
      </c>
      <c r="CB42">
        <v>1</v>
      </c>
      <c r="CC42">
        <v>0</v>
      </c>
      <c r="CD42">
        <v>0</v>
      </c>
      <c r="CE42">
        <v>-1</v>
      </c>
      <c r="CF42">
        <v>1</v>
      </c>
      <c r="CG42">
        <v>1</v>
      </c>
      <c r="CH42">
        <v>1</v>
      </c>
      <c r="CI42">
        <v>0</v>
      </c>
      <c r="CJ42">
        <v>0</v>
      </c>
      <c r="CK42">
        <v>0</v>
      </c>
      <c r="CL42">
        <v>1</v>
      </c>
      <c r="CM42">
        <v>0</v>
      </c>
      <c r="CN42">
        <v>1</v>
      </c>
      <c r="CO42">
        <v>0</v>
      </c>
      <c r="CP42">
        <v>0</v>
      </c>
      <c r="CQ42">
        <v>1</v>
      </c>
      <c r="CR42">
        <v>0</v>
      </c>
      <c r="CS42">
        <v>0</v>
      </c>
      <c r="CT42">
        <v>1</v>
      </c>
      <c r="CU42">
        <v>1</v>
      </c>
      <c r="CV42">
        <v>0</v>
      </c>
    </row>
    <row r="43" spans="1:100">
      <c r="A43">
        <v>1</v>
      </c>
      <c r="B43">
        <v>0</v>
      </c>
      <c r="C43">
        <v>1</v>
      </c>
      <c r="D43">
        <v>1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-1</v>
      </c>
      <c r="N43">
        <v>-1</v>
      </c>
      <c r="O43">
        <v>1</v>
      </c>
      <c r="P43">
        <v>-1</v>
      </c>
      <c r="Q43">
        <v>0</v>
      </c>
      <c r="R43">
        <v>1</v>
      </c>
      <c r="S43">
        <v>0</v>
      </c>
      <c r="T43">
        <v>0</v>
      </c>
      <c r="U43">
        <v>0</v>
      </c>
      <c r="V43">
        <v>1</v>
      </c>
      <c r="W43">
        <v>1</v>
      </c>
      <c r="X43">
        <v>-1</v>
      </c>
      <c r="Y43">
        <v>0</v>
      </c>
      <c r="Z43">
        <v>-1</v>
      </c>
      <c r="AA43">
        <v>1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1</v>
      </c>
      <c r="AH43">
        <v>0</v>
      </c>
      <c r="AI43">
        <v>1</v>
      </c>
      <c r="AJ43">
        <v>1</v>
      </c>
      <c r="AK43">
        <v>1</v>
      </c>
      <c r="AL43">
        <v>0</v>
      </c>
      <c r="AM43">
        <v>-1</v>
      </c>
      <c r="AN43">
        <v>1</v>
      </c>
      <c r="AO43">
        <v>0</v>
      </c>
      <c r="AP43">
        <v>0</v>
      </c>
      <c r="AQ43">
        <v>1</v>
      </c>
      <c r="AR43">
        <v>0</v>
      </c>
      <c r="AS43">
        <v>0</v>
      </c>
      <c r="AT43">
        <v>0</v>
      </c>
      <c r="AU43">
        <v>1</v>
      </c>
      <c r="AV43">
        <v>1</v>
      </c>
      <c r="AW43">
        <v>0</v>
      </c>
      <c r="AX43">
        <v>1</v>
      </c>
      <c r="AY43">
        <v>1</v>
      </c>
      <c r="AZ43">
        <v>0</v>
      </c>
      <c r="BA43">
        <v>0</v>
      </c>
      <c r="BB43">
        <v>1</v>
      </c>
      <c r="BC43">
        <v>0</v>
      </c>
      <c r="BD43">
        <v>1</v>
      </c>
      <c r="BE43">
        <v>0</v>
      </c>
      <c r="BF43">
        <v>0</v>
      </c>
      <c r="BG43">
        <v>0</v>
      </c>
      <c r="BH43">
        <v>0</v>
      </c>
      <c r="BI43">
        <v>1</v>
      </c>
      <c r="BJ43">
        <v>1</v>
      </c>
      <c r="BK43">
        <v>0</v>
      </c>
      <c r="BL43">
        <v>0</v>
      </c>
      <c r="BM43">
        <v>1</v>
      </c>
      <c r="BN43">
        <v>0</v>
      </c>
      <c r="BO43">
        <v>-1</v>
      </c>
      <c r="BP43">
        <v>0</v>
      </c>
      <c r="BQ43">
        <v>1</v>
      </c>
      <c r="BR43">
        <v>0</v>
      </c>
      <c r="BS43">
        <v>1</v>
      </c>
      <c r="BT43">
        <v>1</v>
      </c>
      <c r="BU43">
        <v>-1</v>
      </c>
      <c r="BV43">
        <v>1</v>
      </c>
      <c r="BW43">
        <v>1</v>
      </c>
      <c r="BX43">
        <v>-1</v>
      </c>
      <c r="BY43">
        <v>1</v>
      </c>
      <c r="BZ43">
        <v>1</v>
      </c>
      <c r="CA43">
        <v>0</v>
      </c>
      <c r="CB43">
        <v>1</v>
      </c>
      <c r="CC43">
        <v>1</v>
      </c>
      <c r="CD43">
        <v>0</v>
      </c>
      <c r="CE43">
        <v>-1</v>
      </c>
      <c r="CF43">
        <v>0</v>
      </c>
      <c r="CG43">
        <v>0</v>
      </c>
      <c r="CH43">
        <v>0</v>
      </c>
      <c r="CI43">
        <v>1</v>
      </c>
      <c r="CJ43">
        <v>0</v>
      </c>
      <c r="CK43">
        <v>0</v>
      </c>
      <c r="CL43">
        <v>1</v>
      </c>
      <c r="CM43">
        <v>1</v>
      </c>
      <c r="CN43">
        <v>1</v>
      </c>
      <c r="CO43">
        <v>-1</v>
      </c>
      <c r="CP43">
        <v>1</v>
      </c>
      <c r="CQ43">
        <v>0</v>
      </c>
      <c r="CR43">
        <v>0</v>
      </c>
      <c r="CS43">
        <v>1</v>
      </c>
      <c r="CT43">
        <v>1</v>
      </c>
      <c r="CU43">
        <v>1</v>
      </c>
      <c r="CV43">
        <v>1</v>
      </c>
    </row>
    <row r="44" spans="1:100">
      <c r="A44">
        <v>1</v>
      </c>
      <c r="B44">
        <v>1</v>
      </c>
      <c r="C44">
        <v>0</v>
      </c>
      <c r="D44">
        <v>0</v>
      </c>
      <c r="E44">
        <v>1</v>
      </c>
      <c r="F44">
        <v>-1</v>
      </c>
      <c r="G44">
        <v>0</v>
      </c>
      <c r="H44">
        <v>1</v>
      </c>
      <c r="I44">
        <v>0</v>
      </c>
      <c r="J44">
        <v>0</v>
      </c>
      <c r="K44">
        <v>1</v>
      </c>
      <c r="L44">
        <v>0</v>
      </c>
      <c r="M44">
        <v>1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-1</v>
      </c>
      <c r="X44">
        <v>1</v>
      </c>
      <c r="Y44">
        <v>1</v>
      </c>
      <c r="Z44">
        <v>-1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1</v>
      </c>
      <c r="AL44">
        <v>0</v>
      </c>
      <c r="AM44">
        <v>0</v>
      </c>
      <c r="AN44">
        <v>-1</v>
      </c>
      <c r="AO44">
        <v>-1</v>
      </c>
      <c r="AP44">
        <v>0</v>
      </c>
      <c r="AQ44">
        <v>1</v>
      </c>
      <c r="AR44">
        <v>1</v>
      </c>
      <c r="AS44">
        <v>0</v>
      </c>
      <c r="AT44">
        <v>1</v>
      </c>
      <c r="AU44">
        <v>1</v>
      </c>
      <c r="AV44">
        <v>0</v>
      </c>
      <c r="AW44">
        <v>1</v>
      </c>
      <c r="AX44">
        <v>-1</v>
      </c>
      <c r="AY44">
        <v>-1</v>
      </c>
      <c r="AZ44">
        <v>1</v>
      </c>
      <c r="BA44">
        <v>1</v>
      </c>
      <c r="BB44">
        <v>-1</v>
      </c>
      <c r="BC44">
        <v>0</v>
      </c>
      <c r="BD44">
        <v>1</v>
      </c>
      <c r="BE44">
        <v>-1</v>
      </c>
      <c r="BF44">
        <v>1</v>
      </c>
      <c r="BG44">
        <v>-1</v>
      </c>
      <c r="BH44">
        <v>1</v>
      </c>
      <c r="BI44">
        <v>0</v>
      </c>
      <c r="BJ44">
        <v>-1</v>
      </c>
      <c r="BK44">
        <v>0</v>
      </c>
      <c r="BL44">
        <v>0</v>
      </c>
      <c r="BM44">
        <v>1</v>
      </c>
      <c r="BN44">
        <v>1</v>
      </c>
      <c r="BO44">
        <v>-1</v>
      </c>
      <c r="BP44">
        <v>0</v>
      </c>
      <c r="BQ44">
        <v>0</v>
      </c>
      <c r="BR44">
        <v>0</v>
      </c>
      <c r="BS44">
        <v>0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</v>
      </c>
      <c r="BZ44">
        <v>0</v>
      </c>
      <c r="CA44">
        <v>1</v>
      </c>
      <c r="CB44">
        <v>1</v>
      </c>
      <c r="CC44">
        <v>0</v>
      </c>
      <c r="CD44">
        <v>1</v>
      </c>
      <c r="CE44">
        <v>1</v>
      </c>
      <c r="CF44">
        <v>0</v>
      </c>
      <c r="CG44">
        <v>1</v>
      </c>
      <c r="CH44">
        <v>0</v>
      </c>
      <c r="CI44">
        <v>0</v>
      </c>
      <c r="CJ44">
        <v>0</v>
      </c>
      <c r="CK44">
        <v>-1</v>
      </c>
      <c r="CL44">
        <v>0</v>
      </c>
      <c r="CM44">
        <v>0</v>
      </c>
      <c r="CN44">
        <v>0</v>
      </c>
      <c r="CO44">
        <v>1</v>
      </c>
      <c r="CP44">
        <v>0</v>
      </c>
      <c r="CQ44">
        <v>0</v>
      </c>
      <c r="CR44">
        <v>1</v>
      </c>
      <c r="CS44">
        <v>1</v>
      </c>
      <c r="CT44">
        <v>1</v>
      </c>
      <c r="CU44">
        <v>0</v>
      </c>
      <c r="CV44">
        <v>1</v>
      </c>
    </row>
    <row r="45" spans="1:100">
      <c r="A45">
        <v>0</v>
      </c>
      <c r="B45">
        <v>0</v>
      </c>
      <c r="C45">
        <v>0</v>
      </c>
      <c r="D45">
        <v>0</v>
      </c>
      <c r="E45">
        <v>1</v>
      </c>
      <c r="F45">
        <v>1</v>
      </c>
      <c r="G45">
        <v>-1</v>
      </c>
      <c r="H45">
        <v>1</v>
      </c>
      <c r="I45">
        <v>0</v>
      </c>
      <c r="J45">
        <v>0</v>
      </c>
      <c r="K45">
        <v>0</v>
      </c>
      <c r="L45">
        <v>-1</v>
      </c>
      <c r="M45">
        <v>-1</v>
      </c>
      <c r="N45">
        <v>0</v>
      </c>
      <c r="O45">
        <v>0</v>
      </c>
      <c r="P45">
        <v>1</v>
      </c>
      <c r="Q45">
        <v>-1</v>
      </c>
      <c r="R45">
        <v>-1</v>
      </c>
      <c r="S45">
        <v>1</v>
      </c>
      <c r="T45">
        <v>1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1</v>
      </c>
      <c r="AB45">
        <v>1</v>
      </c>
      <c r="AC45">
        <v>1</v>
      </c>
      <c r="AD45">
        <v>0</v>
      </c>
      <c r="AE45">
        <v>-1</v>
      </c>
      <c r="AF45">
        <v>0</v>
      </c>
      <c r="AG45">
        <v>0</v>
      </c>
      <c r="AH45">
        <v>1</v>
      </c>
      <c r="AI45">
        <v>1</v>
      </c>
      <c r="AJ45">
        <v>1</v>
      </c>
      <c r="AK45">
        <v>0</v>
      </c>
      <c r="AL45">
        <v>1</v>
      </c>
      <c r="AM45">
        <v>1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1</v>
      </c>
      <c r="BA45">
        <v>1</v>
      </c>
      <c r="BB45">
        <v>1</v>
      </c>
      <c r="BC45">
        <v>0</v>
      </c>
      <c r="BD45">
        <v>1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1</v>
      </c>
      <c r="BO45">
        <v>1</v>
      </c>
      <c r="BP45">
        <v>0</v>
      </c>
      <c r="BQ45">
        <v>0</v>
      </c>
      <c r="BR45">
        <v>0</v>
      </c>
      <c r="BS45">
        <v>0</v>
      </c>
      <c r="BT45">
        <v>1</v>
      </c>
      <c r="BU45">
        <v>-1</v>
      </c>
      <c r="BV45">
        <v>1</v>
      </c>
      <c r="BW45">
        <v>1</v>
      </c>
      <c r="BX45">
        <v>0</v>
      </c>
      <c r="BY45">
        <v>1</v>
      </c>
      <c r="BZ45">
        <v>1</v>
      </c>
      <c r="CA45">
        <v>0</v>
      </c>
      <c r="CB45">
        <v>0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-1</v>
      </c>
      <c r="CI45">
        <v>0</v>
      </c>
      <c r="CJ45">
        <v>-1</v>
      </c>
      <c r="CK45">
        <v>1</v>
      </c>
      <c r="CL45">
        <v>0</v>
      </c>
      <c r="CM45">
        <v>0</v>
      </c>
      <c r="CN45">
        <v>1</v>
      </c>
      <c r="CO45">
        <v>0</v>
      </c>
      <c r="CP45">
        <v>0</v>
      </c>
      <c r="CQ45">
        <v>-1</v>
      </c>
      <c r="CR45">
        <v>1</v>
      </c>
      <c r="CS45">
        <v>0</v>
      </c>
      <c r="CT45">
        <v>0</v>
      </c>
      <c r="CU45">
        <v>0</v>
      </c>
      <c r="CV45">
        <v>0</v>
      </c>
    </row>
    <row r="46" spans="1:100">
      <c r="A46">
        <v>1</v>
      </c>
      <c r="B46">
        <v>0</v>
      </c>
      <c r="C46">
        <v>0</v>
      </c>
      <c r="D46">
        <v>1</v>
      </c>
      <c r="E46">
        <v>1</v>
      </c>
      <c r="F46">
        <v>-1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1</v>
      </c>
      <c r="N46">
        <v>1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1</v>
      </c>
      <c r="X46">
        <v>1</v>
      </c>
      <c r="Y46">
        <v>0</v>
      </c>
      <c r="Z46">
        <v>0</v>
      </c>
      <c r="AA46">
        <v>1</v>
      </c>
      <c r="AB46">
        <v>1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1</v>
      </c>
      <c r="AJ46">
        <v>1</v>
      </c>
      <c r="AK46">
        <v>0</v>
      </c>
      <c r="AL46">
        <v>0</v>
      </c>
      <c r="AM46">
        <v>1</v>
      </c>
      <c r="AN46">
        <v>1</v>
      </c>
      <c r="AO46">
        <v>1</v>
      </c>
      <c r="AP46">
        <v>0</v>
      </c>
      <c r="AQ46">
        <v>0</v>
      </c>
      <c r="AR46">
        <v>1</v>
      </c>
      <c r="AS46">
        <v>1</v>
      </c>
      <c r="AT46">
        <v>1</v>
      </c>
      <c r="AU46">
        <v>-1</v>
      </c>
      <c r="AV46">
        <v>1</v>
      </c>
      <c r="AW46">
        <v>0</v>
      </c>
      <c r="AX46">
        <v>0</v>
      </c>
      <c r="AY46">
        <v>0</v>
      </c>
      <c r="AZ46">
        <v>1</v>
      </c>
      <c r="BA46">
        <v>0</v>
      </c>
      <c r="BB46">
        <v>0</v>
      </c>
      <c r="BC46">
        <v>1</v>
      </c>
      <c r="BD46">
        <v>0</v>
      </c>
      <c r="BE46">
        <v>0</v>
      </c>
      <c r="BF46">
        <v>1</v>
      </c>
      <c r="BG46">
        <v>1</v>
      </c>
      <c r="BH46">
        <v>-1</v>
      </c>
      <c r="BI46">
        <v>0</v>
      </c>
      <c r="BJ46">
        <v>0</v>
      </c>
      <c r="BK46">
        <v>1</v>
      </c>
      <c r="BL46">
        <v>0</v>
      </c>
      <c r="BM46">
        <v>0</v>
      </c>
      <c r="BN46">
        <v>1</v>
      </c>
      <c r="BO46">
        <v>1</v>
      </c>
      <c r="BP46">
        <v>1</v>
      </c>
      <c r="BQ46">
        <v>0</v>
      </c>
      <c r="BR46">
        <v>-1</v>
      </c>
      <c r="BS46">
        <v>1</v>
      </c>
      <c r="BT46">
        <v>1</v>
      </c>
      <c r="BU46">
        <v>1</v>
      </c>
      <c r="BV46">
        <v>1</v>
      </c>
      <c r="BW46">
        <v>0</v>
      </c>
      <c r="BX46">
        <v>0</v>
      </c>
      <c r="BY46">
        <v>1</v>
      </c>
      <c r="BZ46">
        <v>1</v>
      </c>
      <c r="CA46">
        <v>0</v>
      </c>
      <c r="CB46">
        <v>0</v>
      </c>
      <c r="CC46">
        <v>0</v>
      </c>
      <c r="CD46">
        <v>-1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1</v>
      </c>
      <c r="CL46">
        <v>1</v>
      </c>
      <c r="CM46">
        <v>1</v>
      </c>
      <c r="CN46">
        <v>0</v>
      </c>
      <c r="CO46">
        <v>0</v>
      </c>
      <c r="CP46">
        <v>0</v>
      </c>
      <c r="CQ46">
        <v>1</v>
      </c>
      <c r="CR46">
        <v>0</v>
      </c>
      <c r="CS46">
        <v>0</v>
      </c>
      <c r="CT46">
        <v>1</v>
      </c>
      <c r="CU46">
        <v>0</v>
      </c>
      <c r="CV46">
        <v>1</v>
      </c>
    </row>
    <row r="47" spans="1:100">
      <c r="A47">
        <v>0</v>
      </c>
      <c r="B47">
        <v>0</v>
      </c>
      <c r="C47">
        <v>0</v>
      </c>
      <c r="D47">
        <v>1</v>
      </c>
      <c r="E47">
        <v>1</v>
      </c>
      <c r="F47">
        <v>0</v>
      </c>
      <c r="G47">
        <v>0</v>
      </c>
      <c r="H47">
        <v>1</v>
      </c>
      <c r="I47">
        <v>1</v>
      </c>
      <c r="J47">
        <v>1</v>
      </c>
      <c r="K47">
        <v>-1</v>
      </c>
      <c r="L47">
        <v>0</v>
      </c>
      <c r="M47">
        <v>1</v>
      </c>
      <c r="N47">
        <v>0</v>
      </c>
      <c r="O47">
        <v>-1</v>
      </c>
      <c r="P47">
        <v>0</v>
      </c>
      <c r="Q47">
        <v>0</v>
      </c>
      <c r="R47">
        <v>-1</v>
      </c>
      <c r="S47">
        <v>0</v>
      </c>
      <c r="T47">
        <v>1</v>
      </c>
      <c r="U47">
        <v>0</v>
      </c>
      <c r="V47">
        <v>1</v>
      </c>
      <c r="W47">
        <v>0</v>
      </c>
      <c r="X47">
        <v>1</v>
      </c>
      <c r="Y47">
        <v>0</v>
      </c>
      <c r="Z47">
        <v>0</v>
      </c>
      <c r="AA47">
        <v>1</v>
      </c>
      <c r="AB47">
        <v>1</v>
      </c>
      <c r="AC47">
        <v>1</v>
      </c>
      <c r="AD47">
        <v>1</v>
      </c>
      <c r="AE47">
        <v>0</v>
      </c>
      <c r="AF47">
        <v>1</v>
      </c>
      <c r="AG47">
        <v>0</v>
      </c>
      <c r="AH47">
        <v>0</v>
      </c>
      <c r="AI47">
        <v>1</v>
      </c>
      <c r="AJ47">
        <v>1</v>
      </c>
      <c r="AK47">
        <v>1</v>
      </c>
      <c r="AL47">
        <v>0</v>
      </c>
      <c r="AM47">
        <v>0</v>
      </c>
      <c r="AN47">
        <v>-1</v>
      </c>
      <c r="AO47">
        <v>-1</v>
      </c>
      <c r="AP47">
        <v>-1</v>
      </c>
      <c r="AQ47">
        <v>0</v>
      </c>
      <c r="AR47">
        <v>1</v>
      </c>
      <c r="AS47">
        <v>1</v>
      </c>
      <c r="AT47">
        <v>1</v>
      </c>
      <c r="AU47">
        <v>0</v>
      </c>
      <c r="AV47">
        <v>0</v>
      </c>
      <c r="AW47">
        <v>1</v>
      </c>
      <c r="AX47">
        <v>0</v>
      </c>
      <c r="AY47">
        <v>0</v>
      </c>
      <c r="AZ47">
        <v>-1</v>
      </c>
      <c r="BA47">
        <v>0</v>
      </c>
      <c r="BB47">
        <v>0</v>
      </c>
      <c r="BC47">
        <v>1</v>
      </c>
      <c r="BD47">
        <v>-1</v>
      </c>
      <c r="BE47">
        <v>0</v>
      </c>
      <c r="BF47">
        <v>-1</v>
      </c>
      <c r="BG47">
        <v>-1</v>
      </c>
      <c r="BH47">
        <v>1</v>
      </c>
      <c r="BI47">
        <v>1</v>
      </c>
      <c r="BJ47">
        <v>-1</v>
      </c>
      <c r="BK47">
        <v>1</v>
      </c>
      <c r="BL47">
        <v>1</v>
      </c>
      <c r="BM47">
        <v>0</v>
      </c>
      <c r="BN47">
        <v>-1</v>
      </c>
      <c r="BO47">
        <v>-1</v>
      </c>
      <c r="BP47">
        <v>0</v>
      </c>
      <c r="BQ47">
        <v>0</v>
      </c>
      <c r="BR47">
        <v>1</v>
      </c>
      <c r="BS47">
        <v>0</v>
      </c>
      <c r="BT47">
        <v>1</v>
      </c>
      <c r="BU47">
        <v>1</v>
      </c>
      <c r="BV47">
        <v>1</v>
      </c>
      <c r="BW47">
        <v>1</v>
      </c>
      <c r="BX47">
        <v>0</v>
      </c>
      <c r="BY47">
        <v>0</v>
      </c>
      <c r="BZ47">
        <v>-1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0</v>
      </c>
      <c r="CH47">
        <v>1</v>
      </c>
      <c r="CI47">
        <v>1</v>
      </c>
      <c r="CJ47">
        <v>1</v>
      </c>
      <c r="CK47">
        <v>0</v>
      </c>
      <c r="CL47">
        <v>1</v>
      </c>
      <c r="CM47">
        <v>0</v>
      </c>
      <c r="CN47">
        <v>1</v>
      </c>
      <c r="CO47">
        <v>1</v>
      </c>
      <c r="CP47">
        <v>1</v>
      </c>
      <c r="CQ47">
        <v>1</v>
      </c>
      <c r="CR47">
        <v>0</v>
      </c>
      <c r="CS47">
        <v>-1</v>
      </c>
      <c r="CT47">
        <v>1</v>
      </c>
      <c r="CU47">
        <v>0</v>
      </c>
      <c r="CV47">
        <v>0</v>
      </c>
    </row>
    <row r="48" spans="1:100">
      <c r="A48">
        <v>0</v>
      </c>
      <c r="B48">
        <v>1</v>
      </c>
      <c r="C48">
        <v>0</v>
      </c>
      <c r="D48">
        <v>0</v>
      </c>
      <c r="E48">
        <v>1</v>
      </c>
      <c r="F48">
        <v>1</v>
      </c>
      <c r="G48">
        <v>1</v>
      </c>
      <c r="H48">
        <v>1</v>
      </c>
      <c r="I48">
        <v>0</v>
      </c>
      <c r="J48">
        <v>1</v>
      </c>
      <c r="K48">
        <v>-1</v>
      </c>
      <c r="L48">
        <v>-1</v>
      </c>
      <c r="M48">
        <v>0</v>
      </c>
      <c r="N48">
        <v>0</v>
      </c>
      <c r="O48">
        <v>0</v>
      </c>
      <c r="P48">
        <v>1</v>
      </c>
      <c r="Q48">
        <v>1</v>
      </c>
      <c r="R48">
        <v>0</v>
      </c>
      <c r="S48">
        <v>0</v>
      </c>
      <c r="T48">
        <v>0</v>
      </c>
      <c r="U48">
        <v>0</v>
      </c>
      <c r="V48">
        <v>1</v>
      </c>
      <c r="W48">
        <v>1</v>
      </c>
      <c r="X48">
        <v>0</v>
      </c>
      <c r="Y48">
        <v>1</v>
      </c>
      <c r="Z48">
        <v>0</v>
      </c>
      <c r="AA48">
        <v>0</v>
      </c>
      <c r="AB48">
        <v>-1</v>
      </c>
      <c r="AC48">
        <v>1</v>
      </c>
      <c r="AD48">
        <v>0</v>
      </c>
      <c r="AE48">
        <v>1</v>
      </c>
      <c r="AF48">
        <v>1</v>
      </c>
      <c r="AG48">
        <v>1</v>
      </c>
      <c r="AH48">
        <v>0</v>
      </c>
      <c r="AI48">
        <v>1</v>
      </c>
      <c r="AJ48">
        <v>0</v>
      </c>
      <c r="AK48">
        <v>-1</v>
      </c>
      <c r="AL48">
        <v>0</v>
      </c>
      <c r="AM48">
        <v>1</v>
      </c>
      <c r="AN48">
        <v>0</v>
      </c>
      <c r="AO48">
        <v>0</v>
      </c>
      <c r="AP48">
        <v>0</v>
      </c>
      <c r="AQ48">
        <v>1</v>
      </c>
      <c r="AR48">
        <v>-1</v>
      </c>
      <c r="AS48">
        <v>-1</v>
      </c>
      <c r="AT48">
        <v>0</v>
      </c>
      <c r="AU48">
        <v>1</v>
      </c>
      <c r="AV48">
        <v>0</v>
      </c>
      <c r="AW48">
        <v>1</v>
      </c>
      <c r="AX48">
        <v>1</v>
      </c>
      <c r="AY48">
        <v>1</v>
      </c>
      <c r="AZ48">
        <v>0</v>
      </c>
      <c r="BA48">
        <v>1</v>
      </c>
      <c r="BB48">
        <v>1</v>
      </c>
      <c r="BC48">
        <v>0</v>
      </c>
      <c r="BD48">
        <v>0</v>
      </c>
      <c r="BE48">
        <v>1</v>
      </c>
      <c r="BF48">
        <v>0</v>
      </c>
      <c r="BG48">
        <v>0</v>
      </c>
      <c r="BH48">
        <v>1</v>
      </c>
      <c r="BI48">
        <v>-1</v>
      </c>
      <c r="BJ48">
        <v>0</v>
      </c>
      <c r="BK48">
        <v>-1</v>
      </c>
      <c r="BL48">
        <v>0</v>
      </c>
      <c r="BM48">
        <v>1</v>
      </c>
      <c r="BN48">
        <v>1</v>
      </c>
      <c r="BO48">
        <v>-1</v>
      </c>
      <c r="BP48">
        <v>0</v>
      </c>
      <c r="BQ48">
        <v>1</v>
      </c>
      <c r="BR48">
        <v>0</v>
      </c>
      <c r="BS48">
        <v>1</v>
      </c>
      <c r="BT48">
        <v>1</v>
      </c>
      <c r="BU48">
        <v>1</v>
      </c>
      <c r="BV48">
        <v>1</v>
      </c>
      <c r="BW48">
        <v>0</v>
      </c>
      <c r="BX48">
        <v>1</v>
      </c>
      <c r="BY48">
        <v>1</v>
      </c>
      <c r="BZ48">
        <v>0</v>
      </c>
      <c r="CA48">
        <v>1</v>
      </c>
      <c r="CB48">
        <v>1</v>
      </c>
      <c r="CC48">
        <v>0</v>
      </c>
      <c r="CD48">
        <v>0</v>
      </c>
      <c r="CE48">
        <v>0</v>
      </c>
      <c r="CF48">
        <v>1</v>
      </c>
      <c r="CG48">
        <v>-1</v>
      </c>
      <c r="CH48">
        <v>1</v>
      </c>
      <c r="CI48">
        <v>-1</v>
      </c>
      <c r="CJ48">
        <v>0</v>
      </c>
      <c r="CK48">
        <v>1</v>
      </c>
      <c r="CL48">
        <v>1</v>
      </c>
      <c r="CM48">
        <v>0</v>
      </c>
      <c r="CN48">
        <v>0</v>
      </c>
      <c r="CO48">
        <v>1</v>
      </c>
      <c r="CP48">
        <v>0</v>
      </c>
      <c r="CQ48">
        <v>1</v>
      </c>
      <c r="CR48">
        <v>0</v>
      </c>
      <c r="CS48">
        <v>1</v>
      </c>
      <c r="CT48">
        <v>1</v>
      </c>
      <c r="CU48">
        <v>-1</v>
      </c>
      <c r="CV48">
        <v>0</v>
      </c>
    </row>
    <row r="49" spans="1:100">
      <c r="A49">
        <v>0</v>
      </c>
      <c r="B49">
        <v>0</v>
      </c>
      <c r="C49">
        <v>0</v>
      </c>
      <c r="D49">
        <v>0</v>
      </c>
      <c r="E49">
        <v>1</v>
      </c>
      <c r="F49">
        <v>0</v>
      </c>
      <c r="G49">
        <v>1</v>
      </c>
      <c r="H49">
        <v>1</v>
      </c>
      <c r="I49">
        <v>0</v>
      </c>
      <c r="J49">
        <v>-1</v>
      </c>
      <c r="K49">
        <v>-1</v>
      </c>
      <c r="L49">
        <v>-1</v>
      </c>
      <c r="M49">
        <v>1</v>
      </c>
      <c r="N49">
        <v>1</v>
      </c>
      <c r="O49">
        <v>-1</v>
      </c>
      <c r="P49">
        <v>1</v>
      </c>
      <c r="Q49">
        <v>-1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1</v>
      </c>
      <c r="Y49">
        <v>1</v>
      </c>
      <c r="Z49">
        <v>1</v>
      </c>
      <c r="AA49">
        <v>1</v>
      </c>
      <c r="AB49">
        <v>0</v>
      </c>
      <c r="AC49">
        <v>0</v>
      </c>
      <c r="AD49">
        <v>0</v>
      </c>
      <c r="AE49">
        <v>1</v>
      </c>
      <c r="AF49">
        <v>1</v>
      </c>
      <c r="AG49">
        <v>1</v>
      </c>
      <c r="AH49">
        <v>1</v>
      </c>
      <c r="AI49">
        <v>-1</v>
      </c>
      <c r="AJ49">
        <v>0</v>
      </c>
      <c r="AK49">
        <v>1</v>
      </c>
      <c r="AL49">
        <v>0</v>
      </c>
      <c r="AM49">
        <v>1</v>
      </c>
      <c r="AN49">
        <v>0</v>
      </c>
      <c r="AO49">
        <v>0</v>
      </c>
      <c r="AP49">
        <v>0</v>
      </c>
      <c r="AQ49">
        <v>-1</v>
      </c>
      <c r="AR49">
        <v>0</v>
      </c>
      <c r="AS49">
        <v>1</v>
      </c>
      <c r="AT49">
        <v>-1</v>
      </c>
      <c r="AU49">
        <v>0</v>
      </c>
      <c r="AV49">
        <v>1</v>
      </c>
      <c r="AW49">
        <v>0</v>
      </c>
      <c r="AX49">
        <v>1</v>
      </c>
      <c r="AY49">
        <v>0</v>
      </c>
      <c r="AZ49">
        <v>1</v>
      </c>
      <c r="BA49">
        <v>0</v>
      </c>
      <c r="BB49">
        <v>0</v>
      </c>
      <c r="BC49">
        <v>1</v>
      </c>
      <c r="BD49">
        <v>1</v>
      </c>
      <c r="BE49">
        <v>0</v>
      </c>
      <c r="BF49">
        <v>0</v>
      </c>
      <c r="BG49">
        <v>1</v>
      </c>
      <c r="BH49">
        <v>-1</v>
      </c>
      <c r="BI49">
        <v>1</v>
      </c>
      <c r="BJ49">
        <v>1</v>
      </c>
      <c r="BK49">
        <v>1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1</v>
      </c>
      <c r="BR49">
        <v>0</v>
      </c>
      <c r="BS49">
        <v>0</v>
      </c>
      <c r="BT49">
        <v>0</v>
      </c>
      <c r="BU49">
        <v>0</v>
      </c>
      <c r="BV49">
        <v>-1</v>
      </c>
      <c r="BW49">
        <v>0</v>
      </c>
      <c r="BX49">
        <v>1</v>
      </c>
      <c r="BY49">
        <v>-1</v>
      </c>
      <c r="BZ49">
        <v>1</v>
      </c>
      <c r="CA49">
        <v>-1</v>
      </c>
      <c r="CB49">
        <v>1</v>
      </c>
      <c r="CC49">
        <v>0</v>
      </c>
      <c r="CD49">
        <v>1</v>
      </c>
      <c r="CE49">
        <v>0</v>
      </c>
      <c r="CF49">
        <v>1</v>
      </c>
      <c r="CG49">
        <v>1</v>
      </c>
      <c r="CH49">
        <v>1</v>
      </c>
      <c r="CI49">
        <v>0</v>
      </c>
      <c r="CJ49">
        <v>1</v>
      </c>
      <c r="CK49">
        <v>1</v>
      </c>
      <c r="CL49">
        <v>0</v>
      </c>
      <c r="CM49">
        <v>0</v>
      </c>
      <c r="CN49">
        <v>1</v>
      </c>
      <c r="CO49">
        <v>1</v>
      </c>
      <c r="CP49">
        <v>0</v>
      </c>
      <c r="CQ49">
        <v>0</v>
      </c>
      <c r="CR49">
        <v>1</v>
      </c>
      <c r="CS49">
        <v>0</v>
      </c>
      <c r="CT49">
        <v>1</v>
      </c>
      <c r="CU49">
        <v>0</v>
      </c>
      <c r="CV49">
        <v>0</v>
      </c>
    </row>
    <row r="50" spans="1:100">
      <c r="A50">
        <v>0</v>
      </c>
      <c r="B50">
        <v>1</v>
      </c>
      <c r="C50">
        <v>1</v>
      </c>
      <c r="D50">
        <v>0</v>
      </c>
      <c r="E50">
        <v>0</v>
      </c>
      <c r="F50">
        <v>1</v>
      </c>
      <c r="G50">
        <v>0</v>
      </c>
      <c r="H50">
        <v>1</v>
      </c>
      <c r="I50">
        <v>1</v>
      </c>
      <c r="J50">
        <v>0</v>
      </c>
      <c r="K50">
        <v>-1</v>
      </c>
      <c r="L50">
        <v>1</v>
      </c>
      <c r="M50">
        <v>1</v>
      </c>
      <c r="N50">
        <v>-1</v>
      </c>
      <c r="O50">
        <v>0</v>
      </c>
      <c r="P50">
        <v>0</v>
      </c>
      <c r="Q50">
        <v>1</v>
      </c>
      <c r="R50">
        <v>0</v>
      </c>
      <c r="S50">
        <v>0</v>
      </c>
      <c r="T50">
        <v>-1</v>
      </c>
      <c r="U50">
        <v>0</v>
      </c>
      <c r="V50">
        <v>0</v>
      </c>
      <c r="W50">
        <v>-1</v>
      </c>
      <c r="X50">
        <v>1</v>
      </c>
      <c r="Y50">
        <v>-1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1</v>
      </c>
      <c r="AH50">
        <v>1</v>
      </c>
      <c r="AI50">
        <v>0</v>
      </c>
      <c r="AJ50">
        <v>0</v>
      </c>
      <c r="AK50">
        <v>0</v>
      </c>
      <c r="AL50">
        <v>1</v>
      </c>
      <c r="AM50">
        <v>1</v>
      </c>
      <c r="AN50">
        <v>1</v>
      </c>
      <c r="AO50">
        <v>0</v>
      </c>
      <c r="AP50">
        <v>0</v>
      </c>
      <c r="AQ50">
        <v>1</v>
      </c>
      <c r="AR50">
        <v>-1</v>
      </c>
      <c r="AS50">
        <v>1</v>
      </c>
      <c r="AT50">
        <v>1</v>
      </c>
      <c r="AU50">
        <v>0</v>
      </c>
      <c r="AV50">
        <v>0</v>
      </c>
      <c r="AW50">
        <v>1</v>
      </c>
      <c r="AX50">
        <v>0</v>
      </c>
      <c r="AY50">
        <v>-1</v>
      </c>
      <c r="AZ50">
        <v>1</v>
      </c>
      <c r="BA50">
        <v>1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1</v>
      </c>
      <c r="BI50">
        <v>0</v>
      </c>
      <c r="BJ50">
        <v>0</v>
      </c>
      <c r="BK50">
        <v>1</v>
      </c>
      <c r="BL50">
        <v>1</v>
      </c>
      <c r="BM50">
        <v>1</v>
      </c>
      <c r="BN50">
        <v>-1</v>
      </c>
      <c r="BO50">
        <v>1</v>
      </c>
      <c r="BP50">
        <v>1</v>
      </c>
      <c r="BQ50">
        <v>1</v>
      </c>
      <c r="BR50">
        <v>0</v>
      </c>
      <c r="BS50">
        <v>0</v>
      </c>
      <c r="BT50">
        <v>0</v>
      </c>
      <c r="BU50">
        <v>0</v>
      </c>
      <c r="BV50">
        <v>-1</v>
      </c>
      <c r="BW50">
        <v>1</v>
      </c>
      <c r="BX50">
        <v>1</v>
      </c>
      <c r="BY50">
        <v>0</v>
      </c>
      <c r="BZ50">
        <v>-1</v>
      </c>
      <c r="CA50">
        <v>1</v>
      </c>
      <c r="CB50">
        <v>0</v>
      </c>
      <c r="CC50">
        <v>1</v>
      </c>
      <c r="CD50">
        <v>1</v>
      </c>
      <c r="CE50">
        <v>1</v>
      </c>
      <c r="CF50">
        <v>0</v>
      </c>
      <c r="CG50">
        <v>0</v>
      </c>
      <c r="CH50">
        <v>1</v>
      </c>
      <c r="CI50">
        <v>0</v>
      </c>
      <c r="CJ50">
        <v>1</v>
      </c>
      <c r="CK50">
        <v>0</v>
      </c>
      <c r="CL50">
        <v>0</v>
      </c>
      <c r="CM50">
        <v>0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0</v>
      </c>
    </row>
    <row r="51" spans="1:100">
      <c r="A51">
        <v>1</v>
      </c>
      <c r="B51">
        <v>1</v>
      </c>
      <c r="C51">
        <v>0</v>
      </c>
      <c r="D51">
        <v>1</v>
      </c>
      <c r="E51">
        <v>1</v>
      </c>
      <c r="F51">
        <v>0</v>
      </c>
      <c r="G51">
        <v>0</v>
      </c>
      <c r="H51">
        <v>0</v>
      </c>
      <c r="I51">
        <v>-1</v>
      </c>
      <c r="J51">
        <v>0</v>
      </c>
      <c r="K51">
        <v>0</v>
      </c>
      <c r="L51">
        <v>0</v>
      </c>
      <c r="M51">
        <v>1</v>
      </c>
      <c r="N51">
        <v>1</v>
      </c>
      <c r="O51">
        <v>1</v>
      </c>
      <c r="P51">
        <v>1</v>
      </c>
      <c r="Q51">
        <v>0</v>
      </c>
      <c r="R51">
        <v>1</v>
      </c>
      <c r="S51">
        <v>1</v>
      </c>
      <c r="T51">
        <v>1</v>
      </c>
      <c r="U51">
        <v>-1</v>
      </c>
      <c r="V51">
        <v>0</v>
      </c>
      <c r="W51">
        <v>0</v>
      </c>
      <c r="X51">
        <v>1</v>
      </c>
      <c r="Y51">
        <v>1</v>
      </c>
      <c r="Z51">
        <v>1</v>
      </c>
      <c r="AA51">
        <v>-1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1</v>
      </c>
      <c r="AI51">
        <v>1</v>
      </c>
      <c r="AJ51">
        <v>0</v>
      </c>
      <c r="AK51">
        <v>0</v>
      </c>
      <c r="AL51">
        <v>1</v>
      </c>
      <c r="AM51">
        <v>-1</v>
      </c>
      <c r="AN51">
        <v>1</v>
      </c>
      <c r="AO51">
        <v>1</v>
      </c>
      <c r="AP51">
        <v>-1</v>
      </c>
      <c r="AQ51">
        <v>1</v>
      </c>
      <c r="AR51">
        <v>0</v>
      </c>
      <c r="AS51">
        <v>1</v>
      </c>
      <c r="AT51">
        <v>1</v>
      </c>
      <c r="AU51">
        <v>1</v>
      </c>
      <c r="AV51">
        <v>0</v>
      </c>
      <c r="AW51">
        <v>1</v>
      </c>
      <c r="AX51">
        <v>1</v>
      </c>
      <c r="AY51">
        <v>0</v>
      </c>
      <c r="AZ51">
        <v>0</v>
      </c>
      <c r="BA51">
        <v>1</v>
      </c>
      <c r="BB51">
        <v>1</v>
      </c>
      <c r="BC51">
        <v>0</v>
      </c>
      <c r="BD51">
        <v>0</v>
      </c>
      <c r="BE51">
        <v>1</v>
      </c>
      <c r="BF51">
        <v>1</v>
      </c>
      <c r="BG51">
        <v>0</v>
      </c>
      <c r="BH51">
        <v>-1</v>
      </c>
      <c r="BI51">
        <v>0</v>
      </c>
      <c r="BJ51">
        <v>0</v>
      </c>
      <c r="BK51">
        <v>1</v>
      </c>
      <c r="BL51">
        <v>0</v>
      </c>
      <c r="BM51">
        <v>1</v>
      </c>
      <c r="BN51">
        <v>0</v>
      </c>
      <c r="BO51">
        <v>0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0</v>
      </c>
      <c r="BX51">
        <v>0</v>
      </c>
      <c r="BY51">
        <v>-1</v>
      </c>
      <c r="BZ51">
        <v>1</v>
      </c>
      <c r="CA51">
        <v>0</v>
      </c>
      <c r="CB51">
        <v>1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1</v>
      </c>
      <c r="CJ51">
        <v>-1</v>
      </c>
      <c r="CK51">
        <v>1</v>
      </c>
      <c r="CL51">
        <v>1</v>
      </c>
      <c r="CM51">
        <v>0</v>
      </c>
      <c r="CN51">
        <v>1</v>
      </c>
      <c r="CO51">
        <v>1</v>
      </c>
      <c r="CP51">
        <v>0</v>
      </c>
      <c r="CQ51">
        <v>1</v>
      </c>
      <c r="CR51">
        <v>-1</v>
      </c>
      <c r="CS51">
        <v>1</v>
      </c>
      <c r="CT51">
        <v>1</v>
      </c>
      <c r="CU51">
        <v>1</v>
      </c>
      <c r="CV51">
        <v>0</v>
      </c>
    </row>
    <row r="52" spans="1:100">
      <c r="A52">
        <v>-1</v>
      </c>
      <c r="B52">
        <v>0</v>
      </c>
      <c r="C52">
        <v>1</v>
      </c>
      <c r="D52">
        <v>1</v>
      </c>
      <c r="E52">
        <v>-1</v>
      </c>
      <c r="F52">
        <v>1</v>
      </c>
      <c r="G52">
        <v>0</v>
      </c>
      <c r="H52">
        <v>1</v>
      </c>
      <c r="I52">
        <v>1</v>
      </c>
      <c r="J52">
        <v>0</v>
      </c>
      <c r="K52">
        <v>0</v>
      </c>
      <c r="L52">
        <v>0</v>
      </c>
      <c r="M52">
        <v>1</v>
      </c>
      <c r="N52">
        <v>0</v>
      </c>
      <c r="O52">
        <v>-1</v>
      </c>
      <c r="P52">
        <v>1</v>
      </c>
      <c r="Q52">
        <v>0</v>
      </c>
      <c r="R52">
        <v>1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  <c r="AC52">
        <v>1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-1</v>
      </c>
      <c r="AJ52">
        <v>0</v>
      </c>
      <c r="AK52">
        <v>-1</v>
      </c>
      <c r="AL52">
        <v>0</v>
      </c>
      <c r="AM52">
        <v>1</v>
      </c>
      <c r="AN52">
        <v>1</v>
      </c>
      <c r="AO52">
        <v>0</v>
      </c>
      <c r="AP52">
        <v>1</v>
      </c>
      <c r="AQ52">
        <v>0</v>
      </c>
      <c r="AR52">
        <v>0</v>
      </c>
      <c r="AS52">
        <v>1</v>
      </c>
      <c r="AT52">
        <v>1</v>
      </c>
      <c r="AU52">
        <v>0</v>
      </c>
      <c r="AV52">
        <v>0</v>
      </c>
      <c r="AW52">
        <v>1</v>
      </c>
      <c r="AX52">
        <v>0</v>
      </c>
      <c r="AY52">
        <v>-1</v>
      </c>
      <c r="AZ52">
        <v>0</v>
      </c>
      <c r="BA52">
        <v>1</v>
      </c>
      <c r="BB52">
        <v>-1</v>
      </c>
      <c r="BC52">
        <v>1</v>
      </c>
      <c r="BD52">
        <v>0</v>
      </c>
      <c r="BE52">
        <v>0</v>
      </c>
      <c r="BF52">
        <v>1</v>
      </c>
      <c r="BG52">
        <v>1</v>
      </c>
      <c r="BH52">
        <v>0</v>
      </c>
      <c r="BI52">
        <v>0</v>
      </c>
      <c r="BJ52">
        <v>0</v>
      </c>
      <c r="BK52">
        <v>0</v>
      </c>
      <c r="BL52">
        <v>1</v>
      </c>
      <c r="BM52">
        <v>0</v>
      </c>
      <c r="BN52">
        <v>1</v>
      </c>
      <c r="BO52">
        <v>1</v>
      </c>
      <c r="BP52">
        <v>1</v>
      </c>
      <c r="BQ52">
        <v>0</v>
      </c>
      <c r="BR52">
        <v>1</v>
      </c>
      <c r="BS52">
        <v>0</v>
      </c>
      <c r="BT52">
        <v>1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1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1</v>
      </c>
      <c r="CI52">
        <v>-1</v>
      </c>
      <c r="CJ52">
        <v>0</v>
      </c>
      <c r="CK52">
        <v>-1</v>
      </c>
      <c r="CL52">
        <v>0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0</v>
      </c>
      <c r="CS52">
        <v>0</v>
      </c>
      <c r="CT52">
        <v>0</v>
      </c>
      <c r="CU52">
        <v>0</v>
      </c>
      <c r="CV52">
        <v>1</v>
      </c>
    </row>
    <row r="53" spans="1:100">
      <c r="A53">
        <v>0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-1</v>
      </c>
      <c r="J53">
        <v>1</v>
      </c>
      <c r="K53">
        <v>1</v>
      </c>
      <c r="L53">
        <v>1</v>
      </c>
      <c r="M53">
        <v>1</v>
      </c>
      <c r="N53">
        <v>0</v>
      </c>
      <c r="O53">
        <v>1</v>
      </c>
      <c r="P53">
        <v>1</v>
      </c>
      <c r="Q53">
        <v>-1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1</v>
      </c>
      <c r="Y53">
        <v>0</v>
      </c>
      <c r="Z53">
        <v>1</v>
      </c>
      <c r="AA53">
        <v>-1</v>
      </c>
      <c r="AB53">
        <v>0</v>
      </c>
      <c r="AC53">
        <v>1</v>
      </c>
      <c r="AD53">
        <v>1</v>
      </c>
      <c r="AE53">
        <v>1</v>
      </c>
      <c r="AF53">
        <v>1</v>
      </c>
      <c r="AG53">
        <v>0</v>
      </c>
      <c r="AH53">
        <v>1</v>
      </c>
      <c r="AI53">
        <v>1</v>
      </c>
      <c r="AJ53">
        <v>1</v>
      </c>
      <c r="AK53">
        <v>1</v>
      </c>
      <c r="AL53">
        <v>-1</v>
      </c>
      <c r="AM53">
        <v>0</v>
      </c>
      <c r="AN53">
        <v>1</v>
      </c>
      <c r="AO53">
        <v>1</v>
      </c>
      <c r="AP53">
        <v>1</v>
      </c>
      <c r="AQ53">
        <v>0</v>
      </c>
      <c r="AR53">
        <v>1</v>
      </c>
      <c r="AS53">
        <v>0</v>
      </c>
      <c r="AT53">
        <v>0</v>
      </c>
      <c r="AU53">
        <v>1</v>
      </c>
      <c r="AV53">
        <v>1</v>
      </c>
      <c r="AW53">
        <v>1</v>
      </c>
      <c r="AX53">
        <v>0</v>
      </c>
      <c r="AY53">
        <v>0</v>
      </c>
      <c r="AZ53">
        <v>1</v>
      </c>
      <c r="BA53">
        <v>1</v>
      </c>
      <c r="BB53">
        <v>1</v>
      </c>
      <c r="BC53">
        <v>1</v>
      </c>
      <c r="BD53">
        <v>0</v>
      </c>
      <c r="BE53">
        <v>-1</v>
      </c>
      <c r="BF53">
        <v>0</v>
      </c>
      <c r="BG53">
        <v>1</v>
      </c>
      <c r="BH53">
        <v>-1</v>
      </c>
      <c r="BI53">
        <v>0</v>
      </c>
      <c r="BJ53">
        <v>0</v>
      </c>
      <c r="BK53">
        <v>0</v>
      </c>
      <c r="BL53">
        <v>-1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0</v>
      </c>
      <c r="BS53">
        <v>0</v>
      </c>
      <c r="BT53">
        <v>1</v>
      </c>
      <c r="BU53">
        <v>1</v>
      </c>
      <c r="BV53">
        <v>0</v>
      </c>
      <c r="BW53">
        <v>1</v>
      </c>
      <c r="BX53">
        <v>0</v>
      </c>
      <c r="BY53">
        <v>0</v>
      </c>
      <c r="BZ53">
        <v>0</v>
      </c>
      <c r="CA53">
        <v>1</v>
      </c>
      <c r="CB53">
        <v>1</v>
      </c>
      <c r="CC53">
        <v>1</v>
      </c>
      <c r="CD53">
        <v>0</v>
      </c>
      <c r="CE53">
        <v>0</v>
      </c>
      <c r="CF53">
        <v>-1</v>
      </c>
      <c r="CG53">
        <v>1</v>
      </c>
      <c r="CH53">
        <v>0</v>
      </c>
      <c r="CI53">
        <v>0</v>
      </c>
      <c r="CJ53">
        <v>-1</v>
      </c>
      <c r="CK53">
        <v>-1</v>
      </c>
      <c r="CL53">
        <v>0</v>
      </c>
      <c r="CM53">
        <v>1</v>
      </c>
      <c r="CN53">
        <v>1</v>
      </c>
      <c r="CO53">
        <v>1</v>
      </c>
      <c r="CP53">
        <v>1</v>
      </c>
      <c r="CQ53">
        <v>-1</v>
      </c>
      <c r="CR53">
        <v>0</v>
      </c>
      <c r="CS53">
        <v>0</v>
      </c>
      <c r="CT53">
        <v>1</v>
      </c>
      <c r="CU53">
        <v>1</v>
      </c>
      <c r="CV53">
        <v>1</v>
      </c>
    </row>
    <row r="54" spans="1:100">
      <c r="A54">
        <v>1</v>
      </c>
      <c r="B54">
        <v>0</v>
      </c>
      <c r="C54">
        <v>1</v>
      </c>
      <c r="D54">
        <v>1</v>
      </c>
      <c r="E54">
        <v>0</v>
      </c>
      <c r="F54">
        <v>1</v>
      </c>
      <c r="G54">
        <v>0</v>
      </c>
      <c r="H54">
        <v>-1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1</v>
      </c>
      <c r="R54">
        <v>0</v>
      </c>
      <c r="S54">
        <v>0</v>
      </c>
      <c r="T54">
        <v>1</v>
      </c>
      <c r="U54">
        <v>1</v>
      </c>
      <c r="V54">
        <v>0</v>
      </c>
      <c r="W54">
        <v>1</v>
      </c>
      <c r="X54">
        <v>-1</v>
      </c>
      <c r="Y54">
        <v>0</v>
      </c>
      <c r="Z54">
        <v>0</v>
      </c>
      <c r="AA54">
        <v>-1</v>
      </c>
      <c r="AB54">
        <v>0</v>
      </c>
      <c r="AC54">
        <v>0</v>
      </c>
      <c r="AD54">
        <v>0</v>
      </c>
      <c r="AE54">
        <v>1</v>
      </c>
      <c r="AF54">
        <v>1</v>
      </c>
      <c r="AG54">
        <v>1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1</v>
      </c>
      <c r="AN54">
        <v>0</v>
      </c>
      <c r="AO54">
        <v>0</v>
      </c>
      <c r="AP54">
        <v>0</v>
      </c>
      <c r="AQ54">
        <v>-1</v>
      </c>
      <c r="AR54">
        <v>1</v>
      </c>
      <c r="AS54">
        <v>1</v>
      </c>
      <c r="AT54">
        <v>0</v>
      </c>
      <c r="AU54">
        <v>0</v>
      </c>
      <c r="AV54">
        <v>1</v>
      </c>
      <c r="AW54">
        <v>0</v>
      </c>
      <c r="AX54">
        <v>0</v>
      </c>
      <c r="AY54">
        <v>0</v>
      </c>
      <c r="AZ54">
        <v>1</v>
      </c>
      <c r="BA54">
        <v>0</v>
      </c>
      <c r="BB54">
        <v>1</v>
      </c>
      <c r="BC54">
        <v>1</v>
      </c>
      <c r="BD54">
        <v>0</v>
      </c>
      <c r="BE54">
        <v>0</v>
      </c>
      <c r="BF54">
        <v>0</v>
      </c>
      <c r="BG54">
        <v>0</v>
      </c>
      <c r="BH54">
        <v>-1</v>
      </c>
      <c r="BI54">
        <v>1</v>
      </c>
      <c r="BJ54">
        <v>0</v>
      </c>
      <c r="BK54">
        <v>1</v>
      </c>
      <c r="BL54">
        <v>0</v>
      </c>
      <c r="BM54">
        <v>1</v>
      </c>
      <c r="BN54">
        <v>0</v>
      </c>
      <c r="BO54">
        <v>0</v>
      </c>
      <c r="BP54">
        <v>1</v>
      </c>
      <c r="BQ54">
        <v>1</v>
      </c>
      <c r="BR54">
        <v>1</v>
      </c>
      <c r="BS54">
        <v>0</v>
      </c>
      <c r="BT54">
        <v>1</v>
      </c>
      <c r="BU54">
        <v>-1</v>
      </c>
      <c r="BV54">
        <v>-1</v>
      </c>
      <c r="BW54">
        <v>-1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-1</v>
      </c>
      <c r="CE54">
        <v>0</v>
      </c>
      <c r="CF54">
        <v>0</v>
      </c>
      <c r="CG54">
        <v>1</v>
      </c>
      <c r="CH54">
        <v>0</v>
      </c>
      <c r="CI54">
        <v>1</v>
      </c>
      <c r="CJ54">
        <v>1</v>
      </c>
      <c r="CK54">
        <v>1</v>
      </c>
      <c r="CL54">
        <v>1</v>
      </c>
      <c r="CM54">
        <v>0</v>
      </c>
      <c r="CN54">
        <v>1</v>
      </c>
      <c r="CO54">
        <v>1</v>
      </c>
      <c r="CP54">
        <v>0</v>
      </c>
      <c r="CQ54">
        <v>1</v>
      </c>
      <c r="CR54">
        <v>1</v>
      </c>
      <c r="CS54">
        <v>1</v>
      </c>
      <c r="CT54">
        <v>0</v>
      </c>
      <c r="CU54">
        <v>1</v>
      </c>
      <c r="CV54">
        <v>1</v>
      </c>
    </row>
    <row r="55" spans="1:100">
      <c r="A55">
        <v>0</v>
      </c>
      <c r="B55">
        <v>1</v>
      </c>
      <c r="C55">
        <v>-1</v>
      </c>
      <c r="D55">
        <v>0</v>
      </c>
      <c r="E55">
        <v>1</v>
      </c>
      <c r="F55">
        <v>0</v>
      </c>
      <c r="G55">
        <v>0</v>
      </c>
      <c r="H55">
        <v>-1</v>
      </c>
      <c r="I55">
        <v>1</v>
      </c>
      <c r="J55">
        <v>1</v>
      </c>
      <c r="K55">
        <v>1</v>
      </c>
      <c r="L55">
        <v>0</v>
      </c>
      <c r="M55">
        <v>0</v>
      </c>
      <c r="N55">
        <v>1</v>
      </c>
      <c r="O55">
        <v>0</v>
      </c>
      <c r="P55">
        <v>1</v>
      </c>
      <c r="Q55">
        <v>1</v>
      </c>
      <c r="R55">
        <v>1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0</v>
      </c>
      <c r="AG55">
        <v>1</v>
      </c>
      <c r="AH55">
        <v>-1</v>
      </c>
      <c r="AI55">
        <v>1</v>
      </c>
      <c r="AJ55">
        <v>0</v>
      </c>
      <c r="AK55">
        <v>1</v>
      </c>
      <c r="AL55">
        <v>1</v>
      </c>
      <c r="AM55">
        <v>0</v>
      </c>
      <c r="AN55">
        <v>1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0</v>
      </c>
      <c r="BB55">
        <v>1</v>
      </c>
      <c r="BC55">
        <v>1</v>
      </c>
      <c r="BD55">
        <v>0</v>
      </c>
      <c r="BE55">
        <v>1</v>
      </c>
      <c r="BF55">
        <v>1</v>
      </c>
      <c r="BG55">
        <v>0</v>
      </c>
      <c r="BH55">
        <v>-1</v>
      </c>
      <c r="BI55">
        <v>0</v>
      </c>
      <c r="BJ55">
        <v>1</v>
      </c>
      <c r="BK55">
        <v>0</v>
      </c>
      <c r="BL55">
        <v>0</v>
      </c>
      <c r="BM55">
        <v>0</v>
      </c>
      <c r="BN55">
        <v>0</v>
      </c>
      <c r="BO55">
        <v>-1</v>
      </c>
      <c r="BP55">
        <v>0</v>
      </c>
      <c r="BQ55">
        <v>0</v>
      </c>
      <c r="BR55">
        <v>0</v>
      </c>
      <c r="BS55">
        <v>1</v>
      </c>
      <c r="BT55">
        <v>1</v>
      </c>
      <c r="BU55">
        <v>1</v>
      </c>
      <c r="BV55">
        <v>1</v>
      </c>
      <c r="BW55">
        <v>0</v>
      </c>
      <c r="BX55">
        <v>1</v>
      </c>
      <c r="BY55">
        <v>0</v>
      </c>
      <c r="BZ55">
        <v>0</v>
      </c>
      <c r="CA55">
        <v>1</v>
      </c>
      <c r="CB55">
        <v>0</v>
      </c>
      <c r="CC55">
        <v>0</v>
      </c>
      <c r="CD55">
        <v>1</v>
      </c>
      <c r="CE55">
        <v>0</v>
      </c>
      <c r="CF55">
        <v>1</v>
      </c>
      <c r="CG55">
        <v>0</v>
      </c>
      <c r="CH55">
        <v>0</v>
      </c>
      <c r="CI55">
        <v>0</v>
      </c>
      <c r="CJ55">
        <v>-1</v>
      </c>
      <c r="CK55">
        <v>0</v>
      </c>
      <c r="CL55">
        <v>1</v>
      </c>
      <c r="CM55">
        <v>0</v>
      </c>
      <c r="CN55">
        <v>0</v>
      </c>
      <c r="CO55">
        <v>0</v>
      </c>
      <c r="CP55">
        <v>1</v>
      </c>
      <c r="CQ55">
        <v>0</v>
      </c>
      <c r="CR55">
        <v>-1</v>
      </c>
      <c r="CS55">
        <v>1</v>
      </c>
      <c r="CT55">
        <v>1</v>
      </c>
      <c r="CU55">
        <v>0</v>
      </c>
      <c r="CV55">
        <v>0</v>
      </c>
    </row>
    <row r="56" spans="1:100">
      <c r="A56">
        <v>-1</v>
      </c>
      <c r="B56">
        <v>0</v>
      </c>
      <c r="C56">
        <v>1</v>
      </c>
      <c r="D56">
        <v>1</v>
      </c>
      <c r="E56">
        <v>0</v>
      </c>
      <c r="F56">
        <v>-1</v>
      </c>
      <c r="G56">
        <v>-1</v>
      </c>
      <c r="H56">
        <v>1</v>
      </c>
      <c r="I56">
        <v>0</v>
      </c>
      <c r="J56">
        <v>1</v>
      </c>
      <c r="K56">
        <v>0</v>
      </c>
      <c r="L56">
        <v>-1</v>
      </c>
      <c r="M56">
        <v>1</v>
      </c>
      <c r="N56">
        <v>0</v>
      </c>
      <c r="O56">
        <v>1</v>
      </c>
      <c r="P56">
        <v>0</v>
      </c>
      <c r="Q56">
        <v>1</v>
      </c>
      <c r="R56">
        <v>0</v>
      </c>
      <c r="S56">
        <v>1</v>
      </c>
      <c r="T56">
        <v>0</v>
      </c>
      <c r="U56">
        <v>1</v>
      </c>
      <c r="V56">
        <v>0</v>
      </c>
      <c r="W56">
        <v>1</v>
      </c>
      <c r="X56">
        <v>1</v>
      </c>
      <c r="Y56">
        <v>0</v>
      </c>
      <c r="Z56">
        <v>0</v>
      </c>
      <c r="AA56">
        <v>1</v>
      </c>
      <c r="AB56">
        <v>1</v>
      </c>
      <c r="AC56">
        <v>1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1</v>
      </c>
      <c r="AK56">
        <v>0</v>
      </c>
      <c r="AL56">
        <v>1</v>
      </c>
      <c r="AM56">
        <v>1</v>
      </c>
      <c r="AN56">
        <v>1</v>
      </c>
      <c r="AO56">
        <v>1</v>
      </c>
      <c r="AP56">
        <v>0</v>
      </c>
      <c r="AQ56">
        <v>1</v>
      </c>
      <c r="AR56">
        <v>1</v>
      </c>
      <c r="AS56">
        <v>0</v>
      </c>
      <c r="AT56">
        <v>1</v>
      </c>
      <c r="AU56">
        <v>0</v>
      </c>
      <c r="AV56">
        <v>-1</v>
      </c>
      <c r="AW56">
        <v>-1</v>
      </c>
      <c r="AX56">
        <v>0</v>
      </c>
      <c r="AY56">
        <v>1</v>
      </c>
      <c r="AZ56">
        <v>0</v>
      </c>
      <c r="BA56">
        <v>0</v>
      </c>
      <c r="BB56">
        <v>1</v>
      </c>
      <c r="BC56">
        <v>0</v>
      </c>
      <c r="BD56">
        <v>1</v>
      </c>
      <c r="BE56">
        <v>1</v>
      </c>
      <c r="BF56">
        <v>1</v>
      </c>
      <c r="BG56">
        <v>1</v>
      </c>
      <c r="BH56">
        <v>0</v>
      </c>
      <c r="BI56">
        <v>1</v>
      </c>
      <c r="BJ56">
        <v>0</v>
      </c>
      <c r="BK56">
        <v>1</v>
      </c>
      <c r="BL56">
        <v>0</v>
      </c>
      <c r="BM56">
        <v>1</v>
      </c>
      <c r="BN56">
        <v>0</v>
      </c>
      <c r="BO56">
        <v>0</v>
      </c>
      <c r="BP56">
        <v>0</v>
      </c>
      <c r="BQ56">
        <v>0</v>
      </c>
      <c r="BR56">
        <v>-1</v>
      </c>
      <c r="BS56">
        <v>0</v>
      </c>
      <c r="BT56">
        <v>1</v>
      </c>
      <c r="BU56">
        <v>0</v>
      </c>
      <c r="BV56">
        <v>1</v>
      </c>
      <c r="BW56">
        <v>1</v>
      </c>
      <c r="BX56">
        <v>1</v>
      </c>
      <c r="BY56">
        <v>0</v>
      </c>
      <c r="BZ56">
        <v>-1</v>
      </c>
      <c r="CA56">
        <v>0</v>
      </c>
      <c r="CB56">
        <v>1</v>
      </c>
      <c r="CC56">
        <v>1</v>
      </c>
      <c r="CD56">
        <v>0</v>
      </c>
      <c r="CE56">
        <v>1</v>
      </c>
      <c r="CF56">
        <v>0</v>
      </c>
      <c r="CG56">
        <v>0</v>
      </c>
      <c r="CH56">
        <v>0</v>
      </c>
      <c r="CI56">
        <v>0</v>
      </c>
      <c r="CJ56">
        <v>1</v>
      </c>
      <c r="CK56">
        <v>1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1</v>
      </c>
    </row>
    <row r="57" spans="1:100">
      <c r="A57">
        <v>-1</v>
      </c>
      <c r="B57">
        <v>0</v>
      </c>
      <c r="C57">
        <v>0</v>
      </c>
      <c r="D57">
        <v>0</v>
      </c>
      <c r="E57">
        <v>1</v>
      </c>
      <c r="F57">
        <v>1</v>
      </c>
      <c r="G57">
        <v>1</v>
      </c>
      <c r="H57">
        <v>0</v>
      </c>
      <c r="I57">
        <v>1</v>
      </c>
      <c r="J57">
        <v>1</v>
      </c>
      <c r="K57">
        <v>0</v>
      </c>
      <c r="L57">
        <v>0</v>
      </c>
      <c r="M57">
        <v>1</v>
      </c>
      <c r="N57">
        <v>0</v>
      </c>
      <c r="O57">
        <v>1</v>
      </c>
      <c r="P57">
        <v>0</v>
      </c>
      <c r="Q57">
        <v>0</v>
      </c>
      <c r="R57">
        <v>-1</v>
      </c>
      <c r="S57">
        <v>0</v>
      </c>
      <c r="T57">
        <v>1</v>
      </c>
      <c r="U57">
        <v>0</v>
      </c>
      <c r="V57">
        <v>0</v>
      </c>
      <c r="W57">
        <v>1</v>
      </c>
      <c r="X57">
        <v>1</v>
      </c>
      <c r="Y57">
        <v>1</v>
      </c>
      <c r="Z57">
        <v>1</v>
      </c>
      <c r="AA57">
        <v>-1</v>
      </c>
      <c r="AB57">
        <v>0</v>
      </c>
      <c r="AC57">
        <v>0</v>
      </c>
      <c r="AD57">
        <v>1</v>
      </c>
      <c r="AE57">
        <v>0</v>
      </c>
      <c r="AF57">
        <v>1</v>
      </c>
      <c r="AG57">
        <v>1</v>
      </c>
      <c r="AH57">
        <v>-1</v>
      </c>
      <c r="AI57">
        <v>1</v>
      </c>
      <c r="AJ57">
        <v>-1</v>
      </c>
      <c r="AK57">
        <v>0</v>
      </c>
      <c r="AL57">
        <v>-1</v>
      </c>
      <c r="AM57">
        <v>1</v>
      </c>
      <c r="AN57">
        <v>1</v>
      </c>
      <c r="AO57">
        <v>1</v>
      </c>
      <c r="AP57">
        <v>0</v>
      </c>
      <c r="AQ57">
        <v>1</v>
      </c>
      <c r="AR57">
        <v>0</v>
      </c>
      <c r="AS57">
        <v>1</v>
      </c>
      <c r="AT57">
        <v>0</v>
      </c>
      <c r="AU57">
        <v>0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-1</v>
      </c>
      <c r="BB57">
        <v>0</v>
      </c>
      <c r="BC57">
        <v>0</v>
      </c>
      <c r="BD57">
        <v>1</v>
      </c>
      <c r="BE57">
        <v>0</v>
      </c>
      <c r="BF57">
        <v>-1</v>
      </c>
      <c r="BG57">
        <v>0</v>
      </c>
      <c r="BH57">
        <v>0</v>
      </c>
      <c r="BI57">
        <v>0</v>
      </c>
      <c r="BJ57">
        <v>0</v>
      </c>
      <c r="BK57">
        <v>1</v>
      </c>
      <c r="BL57">
        <v>1</v>
      </c>
      <c r="BM57">
        <v>0</v>
      </c>
      <c r="BN57">
        <v>1</v>
      </c>
      <c r="BO57">
        <v>1</v>
      </c>
      <c r="BP57">
        <v>0</v>
      </c>
      <c r="BQ57">
        <v>0</v>
      </c>
      <c r="BR57">
        <v>0</v>
      </c>
      <c r="BS57">
        <v>0</v>
      </c>
      <c r="BT57">
        <v>1</v>
      </c>
      <c r="BU57">
        <v>1</v>
      </c>
      <c r="BV57">
        <v>-1</v>
      </c>
      <c r="BW57">
        <v>-1</v>
      </c>
      <c r="BX57">
        <v>-1</v>
      </c>
      <c r="BY57">
        <v>1</v>
      </c>
      <c r="BZ57">
        <v>0</v>
      </c>
      <c r="CA57">
        <v>-1</v>
      </c>
      <c r="CB57">
        <v>0</v>
      </c>
      <c r="CC57">
        <v>1</v>
      </c>
      <c r="CD57">
        <v>0</v>
      </c>
      <c r="CE57">
        <v>0</v>
      </c>
      <c r="CF57">
        <v>0</v>
      </c>
      <c r="CG57">
        <v>1</v>
      </c>
      <c r="CH57">
        <v>0</v>
      </c>
      <c r="CI57">
        <v>1</v>
      </c>
      <c r="CJ57">
        <v>1</v>
      </c>
      <c r="CK57">
        <v>0</v>
      </c>
      <c r="CL57">
        <v>0</v>
      </c>
      <c r="CM57">
        <v>1</v>
      </c>
      <c r="CN57">
        <v>1</v>
      </c>
      <c r="CO57">
        <v>-1</v>
      </c>
      <c r="CP57">
        <v>1</v>
      </c>
      <c r="CQ57">
        <v>1</v>
      </c>
      <c r="CR57">
        <v>1</v>
      </c>
      <c r="CS57">
        <v>0</v>
      </c>
      <c r="CT57">
        <v>0</v>
      </c>
      <c r="CU57">
        <v>1</v>
      </c>
      <c r="CV57">
        <v>0</v>
      </c>
    </row>
    <row r="58" spans="1:100">
      <c r="A58">
        <v>1</v>
      </c>
      <c r="B58">
        <v>0</v>
      </c>
      <c r="C58">
        <v>1</v>
      </c>
      <c r="D58">
        <v>1</v>
      </c>
      <c r="E58">
        <v>0</v>
      </c>
      <c r="F58">
        <v>-1</v>
      </c>
      <c r="G58">
        <v>1</v>
      </c>
      <c r="H58">
        <v>1</v>
      </c>
      <c r="I58">
        <v>-1</v>
      </c>
      <c r="J58">
        <v>-1</v>
      </c>
      <c r="K58">
        <v>1</v>
      </c>
      <c r="L58">
        <v>0</v>
      </c>
      <c r="M58">
        <v>1</v>
      </c>
      <c r="N58">
        <v>-1</v>
      </c>
      <c r="O58">
        <v>1</v>
      </c>
      <c r="P58">
        <v>-1</v>
      </c>
      <c r="Q58">
        <v>0</v>
      </c>
      <c r="R58">
        <v>0</v>
      </c>
      <c r="S58">
        <v>1</v>
      </c>
      <c r="T58">
        <v>1</v>
      </c>
      <c r="U58">
        <v>0</v>
      </c>
      <c r="V58">
        <v>1</v>
      </c>
      <c r="W58">
        <v>1</v>
      </c>
      <c r="X58">
        <v>0</v>
      </c>
      <c r="Y58">
        <v>1</v>
      </c>
      <c r="Z58">
        <v>1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1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-1</v>
      </c>
      <c r="AR58">
        <v>1</v>
      </c>
      <c r="AS58">
        <v>0</v>
      </c>
      <c r="AT58">
        <v>0</v>
      </c>
      <c r="AU58">
        <v>1</v>
      </c>
      <c r="AV58">
        <v>-1</v>
      </c>
      <c r="AW58">
        <v>0</v>
      </c>
      <c r="AX58">
        <v>1</v>
      </c>
      <c r="AY58">
        <v>1</v>
      </c>
      <c r="AZ58">
        <v>-1</v>
      </c>
      <c r="BA58">
        <v>0</v>
      </c>
      <c r="BB58">
        <v>0</v>
      </c>
      <c r="BC58">
        <v>1</v>
      </c>
      <c r="BD58">
        <v>1</v>
      </c>
      <c r="BE58">
        <v>-1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1</v>
      </c>
      <c r="BL58">
        <v>0</v>
      </c>
      <c r="BM58">
        <v>1</v>
      </c>
      <c r="BN58">
        <v>1</v>
      </c>
      <c r="BO58">
        <v>0</v>
      </c>
      <c r="BP58">
        <v>1</v>
      </c>
      <c r="BQ58">
        <v>0</v>
      </c>
      <c r="BR58">
        <v>1</v>
      </c>
      <c r="BS58">
        <v>1</v>
      </c>
      <c r="BT58">
        <v>0</v>
      </c>
      <c r="BU58">
        <v>1</v>
      </c>
      <c r="BV58">
        <v>0</v>
      </c>
      <c r="BW58">
        <v>0</v>
      </c>
      <c r="BX58">
        <v>0</v>
      </c>
      <c r="BY58">
        <v>1</v>
      </c>
      <c r="BZ58">
        <v>1</v>
      </c>
      <c r="CA58">
        <v>0</v>
      </c>
      <c r="CB58">
        <v>0</v>
      </c>
      <c r="CC58">
        <v>0</v>
      </c>
      <c r="CD58">
        <v>-1</v>
      </c>
      <c r="CE58">
        <v>-1</v>
      </c>
      <c r="CF58">
        <v>0</v>
      </c>
      <c r="CG58">
        <v>1</v>
      </c>
      <c r="CH58">
        <v>1</v>
      </c>
      <c r="CI58">
        <v>0</v>
      </c>
      <c r="CJ58">
        <v>0</v>
      </c>
      <c r="CK58">
        <v>-1</v>
      </c>
      <c r="CL58">
        <v>1</v>
      </c>
      <c r="CM58">
        <v>1</v>
      </c>
      <c r="CN58">
        <v>-1</v>
      </c>
      <c r="CO58">
        <v>1</v>
      </c>
      <c r="CP58">
        <v>1</v>
      </c>
      <c r="CQ58">
        <v>0</v>
      </c>
      <c r="CR58">
        <v>1</v>
      </c>
      <c r="CS58">
        <v>0</v>
      </c>
      <c r="CT58">
        <v>0</v>
      </c>
      <c r="CU58">
        <v>1</v>
      </c>
      <c r="CV58">
        <v>0</v>
      </c>
    </row>
    <row r="59" spans="1:100">
      <c r="A59">
        <v>0</v>
      </c>
      <c r="B59">
        <v>0</v>
      </c>
      <c r="C59">
        <v>0</v>
      </c>
      <c r="D59">
        <v>-1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-1</v>
      </c>
      <c r="L59">
        <v>0</v>
      </c>
      <c r="M59">
        <v>0</v>
      </c>
      <c r="N59">
        <v>0</v>
      </c>
      <c r="O59">
        <v>1</v>
      </c>
      <c r="P59">
        <v>1</v>
      </c>
      <c r="Q59">
        <v>0</v>
      </c>
      <c r="R59">
        <v>0</v>
      </c>
      <c r="S59">
        <v>1</v>
      </c>
      <c r="T59">
        <v>-1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-1</v>
      </c>
      <c r="AF59">
        <v>1</v>
      </c>
      <c r="AG59">
        <v>0</v>
      </c>
      <c r="AH59">
        <v>-1</v>
      </c>
      <c r="AI59">
        <v>1</v>
      </c>
      <c r="AJ59">
        <v>0</v>
      </c>
      <c r="AK59">
        <v>0</v>
      </c>
      <c r="AL59">
        <v>1</v>
      </c>
      <c r="AM59">
        <v>1</v>
      </c>
      <c r="AN59">
        <v>0</v>
      </c>
      <c r="AO59">
        <v>-1</v>
      </c>
      <c r="AP59">
        <v>0</v>
      </c>
      <c r="AQ59">
        <v>1</v>
      </c>
      <c r="AR59">
        <v>1</v>
      </c>
      <c r="AS59">
        <v>0</v>
      </c>
      <c r="AT59">
        <v>1</v>
      </c>
      <c r="AU59">
        <v>0</v>
      </c>
      <c r="AV59">
        <v>1</v>
      </c>
      <c r="AW59">
        <v>-1</v>
      </c>
      <c r="AX59">
        <v>0</v>
      </c>
      <c r="AY59">
        <v>0</v>
      </c>
      <c r="AZ59">
        <v>1</v>
      </c>
      <c r="BA59">
        <v>0</v>
      </c>
      <c r="BB59">
        <v>1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1</v>
      </c>
      <c r="BI59">
        <v>-1</v>
      </c>
      <c r="BJ59">
        <v>1</v>
      </c>
      <c r="BK59">
        <v>1</v>
      </c>
      <c r="BL59">
        <v>1</v>
      </c>
      <c r="BM59">
        <v>1</v>
      </c>
      <c r="BN59">
        <v>0</v>
      </c>
      <c r="BO59">
        <v>1</v>
      </c>
      <c r="BP59">
        <v>0</v>
      </c>
      <c r="BQ59">
        <v>1</v>
      </c>
      <c r="BR59">
        <v>0</v>
      </c>
      <c r="BS59">
        <v>0</v>
      </c>
      <c r="BT59">
        <v>0</v>
      </c>
      <c r="BU59">
        <v>-1</v>
      </c>
      <c r="BV59">
        <v>0</v>
      </c>
      <c r="BW59">
        <v>1</v>
      </c>
      <c r="BX59">
        <v>1</v>
      </c>
      <c r="BY59">
        <v>1</v>
      </c>
      <c r="BZ59">
        <v>0</v>
      </c>
      <c r="CA59">
        <v>1</v>
      </c>
      <c r="CB59">
        <v>1</v>
      </c>
      <c r="CC59">
        <v>0</v>
      </c>
      <c r="CD59">
        <v>0</v>
      </c>
      <c r="CE59">
        <v>-1</v>
      </c>
      <c r="CF59">
        <v>1</v>
      </c>
      <c r="CG59">
        <v>0</v>
      </c>
      <c r="CH59">
        <v>1</v>
      </c>
      <c r="CI59">
        <v>1</v>
      </c>
      <c r="CJ59">
        <v>1</v>
      </c>
      <c r="CK59">
        <v>0</v>
      </c>
      <c r="CL59">
        <v>1</v>
      </c>
      <c r="CM59">
        <v>1</v>
      </c>
      <c r="CN59">
        <v>1</v>
      </c>
      <c r="CO59">
        <v>1</v>
      </c>
      <c r="CP59">
        <v>0</v>
      </c>
      <c r="CQ59">
        <v>1</v>
      </c>
      <c r="CR59">
        <v>0</v>
      </c>
      <c r="CS59">
        <v>1</v>
      </c>
      <c r="CT59">
        <v>0</v>
      </c>
      <c r="CU59">
        <v>0</v>
      </c>
      <c r="CV59">
        <v>0</v>
      </c>
    </row>
    <row r="60" spans="1:100">
      <c r="A60">
        <v>1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1</v>
      </c>
      <c r="J60">
        <v>0</v>
      </c>
      <c r="K60">
        <v>1</v>
      </c>
      <c r="L60">
        <v>0</v>
      </c>
      <c r="M60">
        <v>1</v>
      </c>
      <c r="N60">
        <v>0</v>
      </c>
      <c r="O60">
        <v>-1</v>
      </c>
      <c r="P60">
        <v>1</v>
      </c>
      <c r="Q60">
        <v>1</v>
      </c>
      <c r="R60">
        <v>0</v>
      </c>
      <c r="S60">
        <v>0</v>
      </c>
      <c r="T60">
        <v>-1</v>
      </c>
      <c r="U60">
        <v>1</v>
      </c>
      <c r="V60">
        <v>1</v>
      </c>
      <c r="W60">
        <v>0</v>
      </c>
      <c r="X60">
        <v>1</v>
      </c>
      <c r="Y60">
        <v>0</v>
      </c>
      <c r="Z60">
        <v>1</v>
      </c>
      <c r="AA60">
        <v>-1</v>
      </c>
      <c r="AB60">
        <v>0</v>
      </c>
      <c r="AC60">
        <v>0</v>
      </c>
      <c r="AD60">
        <v>-1</v>
      </c>
      <c r="AE60">
        <v>1</v>
      </c>
      <c r="AF60">
        <v>1</v>
      </c>
      <c r="AG60">
        <v>0</v>
      </c>
      <c r="AH60">
        <v>1</v>
      </c>
      <c r="AI60">
        <v>0</v>
      </c>
      <c r="AJ60">
        <v>1</v>
      </c>
      <c r="AK60">
        <v>1</v>
      </c>
      <c r="AL60">
        <v>0</v>
      </c>
      <c r="AM60">
        <v>1</v>
      </c>
      <c r="AN60">
        <v>0</v>
      </c>
      <c r="AO60">
        <v>0</v>
      </c>
      <c r="AP60">
        <v>0</v>
      </c>
      <c r="AQ60">
        <v>1</v>
      </c>
      <c r="AR60">
        <v>1</v>
      </c>
      <c r="AS60">
        <v>-1</v>
      </c>
      <c r="AT60">
        <v>1</v>
      </c>
      <c r="AU60">
        <v>0</v>
      </c>
      <c r="AV60">
        <v>1</v>
      </c>
      <c r="AW60">
        <v>1</v>
      </c>
      <c r="AX60">
        <v>1</v>
      </c>
      <c r="AY60">
        <v>1</v>
      </c>
      <c r="AZ60">
        <v>0</v>
      </c>
      <c r="BA60">
        <v>0</v>
      </c>
      <c r="BB60">
        <v>1</v>
      </c>
      <c r="BC60">
        <v>-1</v>
      </c>
      <c r="BD60">
        <v>0</v>
      </c>
      <c r="BE60">
        <v>0</v>
      </c>
      <c r="BF60">
        <v>1</v>
      </c>
      <c r="BG60">
        <v>0</v>
      </c>
      <c r="BH60">
        <v>1</v>
      </c>
      <c r="BI60">
        <v>1</v>
      </c>
      <c r="BJ60">
        <v>0</v>
      </c>
      <c r="BK60">
        <v>0</v>
      </c>
      <c r="BL60">
        <v>0</v>
      </c>
      <c r="BM60">
        <v>1</v>
      </c>
      <c r="BN60">
        <v>1</v>
      </c>
      <c r="BO60">
        <v>0</v>
      </c>
      <c r="BP60">
        <v>-1</v>
      </c>
      <c r="BQ60">
        <v>-1</v>
      </c>
      <c r="BR60">
        <v>1</v>
      </c>
      <c r="BS60">
        <v>1</v>
      </c>
      <c r="BT60">
        <v>0</v>
      </c>
      <c r="BU60">
        <v>1</v>
      </c>
      <c r="BV60">
        <v>0</v>
      </c>
      <c r="BW60">
        <v>-1</v>
      </c>
      <c r="BX60">
        <v>0</v>
      </c>
      <c r="BY60">
        <v>1</v>
      </c>
      <c r="BZ60">
        <v>0</v>
      </c>
      <c r="CA60">
        <v>-1</v>
      </c>
      <c r="CB60">
        <v>0</v>
      </c>
      <c r="CC60">
        <v>1</v>
      </c>
      <c r="CD60">
        <v>1</v>
      </c>
      <c r="CE60">
        <v>0</v>
      </c>
      <c r="CF60">
        <v>1</v>
      </c>
      <c r="CG60">
        <v>0</v>
      </c>
      <c r="CH60">
        <v>0</v>
      </c>
      <c r="CI60">
        <v>-1</v>
      </c>
      <c r="CJ60">
        <v>1</v>
      </c>
      <c r="CK60">
        <v>0</v>
      </c>
      <c r="CL60">
        <v>0</v>
      </c>
      <c r="CM60">
        <v>0</v>
      </c>
      <c r="CN60">
        <v>0</v>
      </c>
      <c r="CO60">
        <v>1</v>
      </c>
      <c r="CP60">
        <v>0</v>
      </c>
      <c r="CQ60">
        <v>-1</v>
      </c>
      <c r="CR60">
        <v>0</v>
      </c>
      <c r="CS60">
        <v>0</v>
      </c>
      <c r="CT60">
        <v>-1</v>
      </c>
      <c r="CU60">
        <v>1</v>
      </c>
      <c r="CV60">
        <v>0</v>
      </c>
    </row>
    <row r="61" spans="1:100">
      <c r="A61">
        <v>1</v>
      </c>
      <c r="B61">
        <v>0</v>
      </c>
      <c r="C61">
        <v>1</v>
      </c>
      <c r="D61">
        <v>0</v>
      </c>
      <c r="E61">
        <v>1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1</v>
      </c>
      <c r="R61">
        <v>1</v>
      </c>
      <c r="S61">
        <v>1</v>
      </c>
      <c r="T61">
        <v>1</v>
      </c>
      <c r="U61">
        <v>1</v>
      </c>
      <c r="V61">
        <v>0</v>
      </c>
      <c r="W61">
        <v>1</v>
      </c>
      <c r="X61">
        <v>0</v>
      </c>
      <c r="Y61">
        <v>0</v>
      </c>
      <c r="Z61">
        <v>-1</v>
      </c>
      <c r="AA61">
        <v>1</v>
      </c>
      <c r="AB61">
        <v>0</v>
      </c>
      <c r="AC61">
        <v>1</v>
      </c>
      <c r="AD61">
        <v>1</v>
      </c>
      <c r="AE61">
        <v>1</v>
      </c>
      <c r="AF61">
        <v>1</v>
      </c>
      <c r="AG61">
        <v>0</v>
      </c>
      <c r="AH61">
        <v>0</v>
      </c>
      <c r="AI61">
        <v>1</v>
      </c>
      <c r="AJ61">
        <v>0</v>
      </c>
      <c r="AK61">
        <v>1</v>
      </c>
      <c r="AL61">
        <v>0</v>
      </c>
      <c r="AM61">
        <v>0</v>
      </c>
      <c r="AN61">
        <v>1</v>
      </c>
      <c r="AO61">
        <v>1</v>
      </c>
      <c r="AP61">
        <v>-1</v>
      </c>
      <c r="AQ61">
        <v>0</v>
      </c>
      <c r="AR61">
        <v>-1</v>
      </c>
      <c r="AS61">
        <v>1</v>
      </c>
      <c r="AT61">
        <v>0</v>
      </c>
      <c r="AU61">
        <v>1</v>
      </c>
      <c r="AV61">
        <v>1</v>
      </c>
      <c r="AW61">
        <v>0</v>
      </c>
      <c r="AX61">
        <v>0</v>
      </c>
      <c r="AY61">
        <v>0</v>
      </c>
      <c r="AZ61">
        <v>1</v>
      </c>
      <c r="BA61">
        <v>1</v>
      </c>
      <c r="BB61">
        <v>0</v>
      </c>
      <c r="BC61">
        <v>1</v>
      </c>
      <c r="BD61">
        <v>1</v>
      </c>
      <c r="BE61">
        <v>1</v>
      </c>
      <c r="BF61">
        <v>0</v>
      </c>
      <c r="BG61">
        <v>1</v>
      </c>
      <c r="BH61">
        <v>0</v>
      </c>
      <c r="BI61">
        <v>1</v>
      </c>
      <c r="BJ61">
        <v>1</v>
      </c>
      <c r="BK61">
        <v>0</v>
      </c>
      <c r="BL61">
        <v>0</v>
      </c>
      <c r="BM61">
        <v>0</v>
      </c>
      <c r="BN61">
        <v>1</v>
      </c>
      <c r="BO61">
        <v>-1</v>
      </c>
      <c r="BP61">
        <v>0</v>
      </c>
      <c r="BQ61">
        <v>1</v>
      </c>
      <c r="BR61">
        <v>0</v>
      </c>
      <c r="BS61">
        <v>0</v>
      </c>
      <c r="BT61">
        <v>0</v>
      </c>
      <c r="BU61">
        <v>0</v>
      </c>
      <c r="BV61">
        <v>1</v>
      </c>
      <c r="BW61">
        <v>0</v>
      </c>
      <c r="BX61">
        <v>0</v>
      </c>
      <c r="BY61">
        <v>-1</v>
      </c>
      <c r="BZ61">
        <v>1</v>
      </c>
      <c r="CA61">
        <v>0</v>
      </c>
      <c r="CB61">
        <v>1</v>
      </c>
      <c r="CC61">
        <v>1</v>
      </c>
      <c r="CD61">
        <v>0</v>
      </c>
      <c r="CE61">
        <v>1</v>
      </c>
      <c r="CF61">
        <v>1</v>
      </c>
      <c r="CG61">
        <v>0</v>
      </c>
      <c r="CH61">
        <v>1</v>
      </c>
      <c r="CI61">
        <v>1</v>
      </c>
      <c r="CJ61">
        <v>1</v>
      </c>
      <c r="CK61">
        <v>0</v>
      </c>
      <c r="CL61">
        <v>0</v>
      </c>
      <c r="CM61">
        <v>0</v>
      </c>
      <c r="CN61">
        <v>0</v>
      </c>
      <c r="CO61">
        <v>1</v>
      </c>
      <c r="CP61">
        <v>0</v>
      </c>
      <c r="CQ61">
        <v>0</v>
      </c>
      <c r="CR61">
        <v>0</v>
      </c>
      <c r="CS61">
        <v>-1</v>
      </c>
      <c r="CT61">
        <v>1</v>
      </c>
      <c r="CU61">
        <v>0</v>
      </c>
      <c r="CV61">
        <v>0</v>
      </c>
    </row>
    <row r="62" spans="1:100">
      <c r="A62">
        <v>1</v>
      </c>
      <c r="B62">
        <v>1</v>
      </c>
      <c r="C62">
        <v>1</v>
      </c>
      <c r="D62">
        <v>-1</v>
      </c>
      <c r="E62">
        <v>-1</v>
      </c>
      <c r="F62">
        <v>1</v>
      </c>
      <c r="G62">
        <v>0</v>
      </c>
      <c r="H62">
        <v>-1</v>
      </c>
      <c r="I62">
        <v>1</v>
      </c>
      <c r="J62">
        <v>0</v>
      </c>
      <c r="K62">
        <v>0</v>
      </c>
      <c r="L62">
        <v>1</v>
      </c>
      <c r="M62">
        <v>0</v>
      </c>
      <c r="N62">
        <v>1</v>
      </c>
      <c r="O62">
        <v>0</v>
      </c>
      <c r="P62">
        <v>1</v>
      </c>
      <c r="Q62">
        <v>1</v>
      </c>
      <c r="R62">
        <v>-1</v>
      </c>
      <c r="S62">
        <v>0</v>
      </c>
      <c r="T62">
        <v>0</v>
      </c>
      <c r="U62">
        <v>1</v>
      </c>
      <c r="V62">
        <v>0</v>
      </c>
      <c r="W62">
        <v>0</v>
      </c>
      <c r="X62">
        <v>1</v>
      </c>
      <c r="Y62">
        <v>1</v>
      </c>
      <c r="Z62">
        <v>0</v>
      </c>
      <c r="AA62">
        <v>1</v>
      </c>
      <c r="AB62">
        <v>0</v>
      </c>
      <c r="AC62">
        <v>-1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1</v>
      </c>
      <c r="AO62">
        <v>0</v>
      </c>
      <c r="AP62">
        <v>1</v>
      </c>
      <c r="AQ62">
        <v>0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1</v>
      </c>
      <c r="BD62">
        <v>0</v>
      </c>
      <c r="BE62">
        <v>1</v>
      </c>
      <c r="BF62">
        <v>1</v>
      </c>
      <c r="BG62">
        <v>1</v>
      </c>
      <c r="BH62">
        <v>0</v>
      </c>
      <c r="BI62">
        <v>0</v>
      </c>
      <c r="BJ62">
        <v>1</v>
      </c>
      <c r="BK62">
        <v>1</v>
      </c>
      <c r="BL62">
        <v>0</v>
      </c>
      <c r="BM62">
        <v>-1</v>
      </c>
      <c r="BN62">
        <v>1</v>
      </c>
      <c r="BO62">
        <v>1</v>
      </c>
      <c r="BP62">
        <v>-1</v>
      </c>
      <c r="BQ62">
        <v>0</v>
      </c>
      <c r="BR62">
        <v>1</v>
      </c>
      <c r="BS62">
        <v>0</v>
      </c>
      <c r="BT62">
        <v>1</v>
      </c>
      <c r="BU62">
        <v>0</v>
      </c>
      <c r="BV62">
        <v>0</v>
      </c>
      <c r="BW62">
        <v>0</v>
      </c>
      <c r="BX62">
        <v>0</v>
      </c>
      <c r="BY62">
        <v>1</v>
      </c>
      <c r="BZ62">
        <v>1</v>
      </c>
      <c r="CA62">
        <v>-1</v>
      </c>
      <c r="CB62">
        <v>0</v>
      </c>
      <c r="CC62">
        <v>0</v>
      </c>
      <c r="CD62">
        <v>1</v>
      </c>
      <c r="CE62">
        <v>1</v>
      </c>
      <c r="CF62">
        <v>1</v>
      </c>
      <c r="CG62">
        <v>0</v>
      </c>
      <c r="CH62">
        <v>-1</v>
      </c>
      <c r="CI62">
        <v>-1</v>
      </c>
      <c r="CJ62">
        <v>1</v>
      </c>
      <c r="CK62">
        <v>1</v>
      </c>
      <c r="CL62">
        <v>0</v>
      </c>
      <c r="CM62">
        <v>0</v>
      </c>
      <c r="CN62">
        <v>-1</v>
      </c>
      <c r="CO62">
        <v>-1</v>
      </c>
      <c r="CP62">
        <v>0</v>
      </c>
      <c r="CQ62">
        <v>0</v>
      </c>
      <c r="CR62">
        <v>0</v>
      </c>
      <c r="CS62">
        <v>1</v>
      </c>
      <c r="CT62">
        <v>0</v>
      </c>
      <c r="CU62">
        <v>1</v>
      </c>
      <c r="CV62">
        <v>0</v>
      </c>
    </row>
    <row r="63" spans="1:100">
      <c r="A63">
        <v>1</v>
      </c>
      <c r="B63">
        <v>1</v>
      </c>
      <c r="C63">
        <v>0</v>
      </c>
      <c r="D63">
        <v>-1</v>
      </c>
      <c r="E63">
        <v>1</v>
      </c>
      <c r="F63">
        <v>0</v>
      </c>
      <c r="G63">
        <v>0</v>
      </c>
      <c r="H63">
        <v>1</v>
      </c>
      <c r="I63">
        <v>0</v>
      </c>
      <c r="J63">
        <v>1</v>
      </c>
      <c r="K63">
        <v>0</v>
      </c>
      <c r="L63">
        <v>0</v>
      </c>
      <c r="M63">
        <v>-1</v>
      </c>
      <c r="N63">
        <v>0</v>
      </c>
      <c r="O63">
        <v>-1</v>
      </c>
      <c r="P63">
        <v>1</v>
      </c>
      <c r="Q63">
        <v>1</v>
      </c>
      <c r="R63">
        <v>0</v>
      </c>
      <c r="S63">
        <v>0</v>
      </c>
      <c r="T63">
        <v>1</v>
      </c>
      <c r="U63">
        <v>1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1</v>
      </c>
      <c r="AG63">
        <v>1</v>
      </c>
      <c r="AH63">
        <v>0</v>
      </c>
      <c r="AI63">
        <v>1</v>
      </c>
      <c r="AJ63">
        <v>0</v>
      </c>
      <c r="AK63">
        <v>-1</v>
      </c>
      <c r="AL63">
        <v>-1</v>
      </c>
      <c r="AM63">
        <v>0</v>
      </c>
      <c r="AN63">
        <v>0</v>
      </c>
      <c r="AO63">
        <v>1</v>
      </c>
      <c r="AP63">
        <v>1</v>
      </c>
      <c r="AQ63">
        <v>1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1</v>
      </c>
      <c r="AZ63">
        <v>1</v>
      </c>
      <c r="BA63">
        <v>0</v>
      </c>
      <c r="BB63">
        <v>1</v>
      </c>
      <c r="BC63">
        <v>0</v>
      </c>
      <c r="BD63">
        <v>0</v>
      </c>
      <c r="BE63">
        <v>1</v>
      </c>
      <c r="BF63">
        <v>0</v>
      </c>
      <c r="BG63">
        <v>-1</v>
      </c>
      <c r="BH63">
        <v>0</v>
      </c>
      <c r="BI63">
        <v>1</v>
      </c>
      <c r="BJ63">
        <v>1</v>
      </c>
      <c r="BK63">
        <v>-1</v>
      </c>
      <c r="BL63">
        <v>0</v>
      </c>
      <c r="BM63">
        <v>0</v>
      </c>
      <c r="BN63">
        <v>1</v>
      </c>
      <c r="BO63">
        <v>1</v>
      </c>
      <c r="BP63">
        <v>0</v>
      </c>
      <c r="BQ63">
        <v>1</v>
      </c>
      <c r="BR63">
        <v>0</v>
      </c>
      <c r="BS63">
        <v>0</v>
      </c>
      <c r="BT63">
        <v>1</v>
      </c>
      <c r="BU63">
        <v>0</v>
      </c>
      <c r="BV63">
        <v>0</v>
      </c>
      <c r="BW63">
        <v>1</v>
      </c>
      <c r="BX63">
        <v>1</v>
      </c>
      <c r="BY63">
        <v>0</v>
      </c>
      <c r="BZ63">
        <v>1</v>
      </c>
      <c r="CA63">
        <v>0</v>
      </c>
      <c r="CB63">
        <v>0</v>
      </c>
      <c r="CC63">
        <v>1</v>
      </c>
      <c r="CD63">
        <v>1</v>
      </c>
      <c r="CE63">
        <v>-1</v>
      </c>
      <c r="CF63">
        <v>0</v>
      </c>
      <c r="CG63">
        <v>1</v>
      </c>
      <c r="CH63">
        <v>1</v>
      </c>
      <c r="CI63">
        <v>-1</v>
      </c>
      <c r="CJ63">
        <v>-1</v>
      </c>
      <c r="CK63">
        <v>0</v>
      </c>
      <c r="CL63">
        <v>1</v>
      </c>
      <c r="CM63">
        <v>1</v>
      </c>
      <c r="CN63">
        <v>0</v>
      </c>
      <c r="CO63">
        <v>1</v>
      </c>
      <c r="CP63">
        <v>0</v>
      </c>
      <c r="CQ63">
        <v>1</v>
      </c>
      <c r="CR63">
        <v>-1</v>
      </c>
      <c r="CS63">
        <v>1</v>
      </c>
      <c r="CT63">
        <v>0</v>
      </c>
      <c r="CU63">
        <v>0</v>
      </c>
      <c r="CV63">
        <v>0</v>
      </c>
    </row>
    <row r="64" spans="1:100">
      <c r="A64">
        <v>0</v>
      </c>
      <c r="B64">
        <v>0</v>
      </c>
      <c r="C64">
        <v>0</v>
      </c>
      <c r="D64">
        <v>0</v>
      </c>
      <c r="E64">
        <v>-1</v>
      </c>
      <c r="F64">
        <v>1</v>
      </c>
      <c r="G64">
        <v>0</v>
      </c>
      <c r="H64">
        <v>1</v>
      </c>
      <c r="I64">
        <v>1</v>
      </c>
      <c r="J64">
        <v>-1</v>
      </c>
      <c r="K64">
        <v>1</v>
      </c>
      <c r="L64">
        <v>1</v>
      </c>
      <c r="M64">
        <v>0</v>
      </c>
      <c r="N64">
        <v>0</v>
      </c>
      <c r="O64">
        <v>1</v>
      </c>
      <c r="P64">
        <v>1</v>
      </c>
      <c r="Q64">
        <v>1</v>
      </c>
      <c r="R64">
        <v>1</v>
      </c>
      <c r="S64">
        <v>-1</v>
      </c>
      <c r="T64">
        <v>1</v>
      </c>
      <c r="U64">
        <v>1</v>
      </c>
      <c r="V64">
        <v>1</v>
      </c>
      <c r="W64">
        <v>0</v>
      </c>
      <c r="X64">
        <v>0</v>
      </c>
      <c r="Y64">
        <v>1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1</v>
      </c>
      <c r="AG64">
        <v>-1</v>
      </c>
      <c r="AH64">
        <v>-1</v>
      </c>
      <c r="AI64">
        <v>0</v>
      </c>
      <c r="AJ64">
        <v>1</v>
      </c>
      <c r="AK64">
        <v>0</v>
      </c>
      <c r="AL64">
        <v>1</v>
      </c>
      <c r="AM64">
        <v>0</v>
      </c>
      <c r="AN64">
        <v>0</v>
      </c>
      <c r="AO64">
        <v>-1</v>
      </c>
      <c r="AP64">
        <v>1</v>
      </c>
      <c r="AQ64">
        <v>0</v>
      </c>
      <c r="AR64">
        <v>1</v>
      </c>
      <c r="AS64">
        <v>0</v>
      </c>
      <c r="AT64">
        <v>0</v>
      </c>
      <c r="AU64">
        <v>0</v>
      </c>
      <c r="AV64">
        <v>1</v>
      </c>
      <c r="AW64">
        <v>1</v>
      </c>
      <c r="AX64">
        <v>-1</v>
      </c>
      <c r="AY64">
        <v>1</v>
      </c>
      <c r="AZ64">
        <v>0</v>
      </c>
      <c r="BA64">
        <v>-1</v>
      </c>
      <c r="BB64">
        <v>-1</v>
      </c>
      <c r="BC64">
        <v>0</v>
      </c>
      <c r="BD64">
        <v>1</v>
      </c>
      <c r="BE64">
        <v>1</v>
      </c>
      <c r="BF64">
        <v>1</v>
      </c>
      <c r="BG64">
        <v>0</v>
      </c>
      <c r="BH64">
        <v>-1</v>
      </c>
      <c r="BI64">
        <v>-1</v>
      </c>
      <c r="BJ64">
        <v>-1</v>
      </c>
      <c r="BK64">
        <v>0</v>
      </c>
      <c r="BL64">
        <v>0</v>
      </c>
      <c r="BM64">
        <v>0</v>
      </c>
      <c r="BN64">
        <v>-1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1</v>
      </c>
      <c r="BV64">
        <v>0</v>
      </c>
      <c r="BW64">
        <v>0</v>
      </c>
      <c r="BX64">
        <v>0</v>
      </c>
      <c r="BY64">
        <v>-1</v>
      </c>
      <c r="BZ64">
        <v>1</v>
      </c>
      <c r="CA64">
        <v>1</v>
      </c>
      <c r="CB64">
        <v>0</v>
      </c>
      <c r="CC64">
        <v>0</v>
      </c>
      <c r="CD64">
        <v>1</v>
      </c>
      <c r="CE64">
        <v>1</v>
      </c>
      <c r="CF64">
        <v>1</v>
      </c>
      <c r="CG64">
        <v>0</v>
      </c>
      <c r="CH64">
        <v>0</v>
      </c>
      <c r="CI64">
        <v>0</v>
      </c>
      <c r="CJ64">
        <v>1</v>
      </c>
      <c r="CK64">
        <v>1</v>
      </c>
      <c r="CL64">
        <v>1</v>
      </c>
      <c r="CM64">
        <v>0</v>
      </c>
      <c r="CN64">
        <v>0</v>
      </c>
      <c r="CO64">
        <v>0</v>
      </c>
      <c r="CP64">
        <v>1</v>
      </c>
      <c r="CQ64">
        <v>0</v>
      </c>
      <c r="CR64">
        <v>1</v>
      </c>
      <c r="CS64">
        <v>0</v>
      </c>
      <c r="CT64">
        <v>1</v>
      </c>
      <c r="CU64">
        <v>0</v>
      </c>
      <c r="CV64">
        <v>0</v>
      </c>
    </row>
    <row r="65" spans="1:100">
      <c r="A65">
        <v>0</v>
      </c>
      <c r="B65">
        <v>0</v>
      </c>
      <c r="C65">
        <v>1</v>
      </c>
      <c r="D65">
        <v>0</v>
      </c>
      <c r="E65">
        <v>1</v>
      </c>
      <c r="F65">
        <v>1</v>
      </c>
      <c r="G65">
        <v>1</v>
      </c>
      <c r="H65">
        <v>1</v>
      </c>
      <c r="I65">
        <v>-1</v>
      </c>
      <c r="J65">
        <v>0</v>
      </c>
      <c r="K65">
        <v>1</v>
      </c>
      <c r="L65">
        <v>0</v>
      </c>
      <c r="M65">
        <v>0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0</v>
      </c>
      <c r="U65">
        <v>-1</v>
      </c>
      <c r="V65">
        <v>1</v>
      </c>
      <c r="W65">
        <v>1</v>
      </c>
      <c r="X65">
        <v>0</v>
      </c>
      <c r="Y65">
        <v>1</v>
      </c>
      <c r="Z65">
        <v>-1</v>
      </c>
      <c r="AA65">
        <v>0</v>
      </c>
      <c r="AB65">
        <v>-1</v>
      </c>
      <c r="AC65">
        <v>0</v>
      </c>
      <c r="AD65">
        <v>0</v>
      </c>
      <c r="AE65">
        <v>-1</v>
      </c>
      <c r="AF65">
        <v>0</v>
      </c>
      <c r="AG65">
        <v>1</v>
      </c>
      <c r="AH65">
        <v>1</v>
      </c>
      <c r="AI65">
        <v>0</v>
      </c>
      <c r="AJ65">
        <v>0</v>
      </c>
      <c r="AK65">
        <v>1</v>
      </c>
      <c r="AL65">
        <v>1</v>
      </c>
      <c r="AM65">
        <v>-1</v>
      </c>
      <c r="AN65">
        <v>0</v>
      </c>
      <c r="AO65">
        <v>0</v>
      </c>
      <c r="AP65">
        <v>0</v>
      </c>
      <c r="AQ65">
        <v>1</v>
      </c>
      <c r="AR65">
        <v>1</v>
      </c>
      <c r="AS65">
        <v>-1</v>
      </c>
      <c r="AT65">
        <v>0</v>
      </c>
      <c r="AU65">
        <v>0</v>
      </c>
      <c r="AV65">
        <v>0</v>
      </c>
      <c r="AW65">
        <v>1</v>
      </c>
      <c r="AX65">
        <v>1</v>
      </c>
      <c r="AY65">
        <v>0</v>
      </c>
      <c r="AZ65">
        <v>0</v>
      </c>
      <c r="BA65">
        <v>0</v>
      </c>
      <c r="BB65">
        <v>0</v>
      </c>
      <c r="BC65">
        <v>1</v>
      </c>
      <c r="BD65">
        <v>1</v>
      </c>
      <c r="BE65">
        <v>1</v>
      </c>
      <c r="BF65">
        <v>0</v>
      </c>
      <c r="BG65">
        <v>0</v>
      </c>
      <c r="BH65">
        <v>1</v>
      </c>
      <c r="BI65">
        <v>0</v>
      </c>
      <c r="BJ65">
        <v>1</v>
      </c>
      <c r="BK65">
        <v>0</v>
      </c>
      <c r="BL65">
        <v>0</v>
      </c>
      <c r="BM65">
        <v>0</v>
      </c>
      <c r="BN65">
        <v>1</v>
      </c>
      <c r="BO65">
        <v>0</v>
      </c>
      <c r="BP65">
        <v>1</v>
      </c>
      <c r="BQ65">
        <v>-1</v>
      </c>
      <c r="BR65">
        <v>-1</v>
      </c>
      <c r="BS65">
        <v>-1</v>
      </c>
      <c r="BT65">
        <v>0</v>
      </c>
      <c r="BU65">
        <v>0</v>
      </c>
      <c r="BV65">
        <v>1</v>
      </c>
      <c r="BW65">
        <v>-1</v>
      </c>
      <c r="BX65">
        <v>0</v>
      </c>
      <c r="BY65">
        <v>1</v>
      </c>
      <c r="BZ65">
        <v>0</v>
      </c>
      <c r="CA65">
        <v>0</v>
      </c>
      <c r="CB65">
        <v>0</v>
      </c>
      <c r="CC65">
        <v>0</v>
      </c>
      <c r="CD65">
        <v>1</v>
      </c>
      <c r="CE65">
        <v>0</v>
      </c>
      <c r="CF65">
        <v>0</v>
      </c>
      <c r="CG65">
        <v>1</v>
      </c>
      <c r="CH65">
        <v>-1</v>
      </c>
      <c r="CI65">
        <v>0</v>
      </c>
      <c r="CJ65">
        <v>1</v>
      </c>
      <c r="CK65">
        <v>0</v>
      </c>
      <c r="CL65">
        <v>1</v>
      </c>
      <c r="CM65">
        <v>0</v>
      </c>
      <c r="CN65">
        <v>1</v>
      </c>
      <c r="CO65">
        <v>-1</v>
      </c>
      <c r="CP65">
        <v>0</v>
      </c>
      <c r="CQ65">
        <v>0</v>
      </c>
      <c r="CR65">
        <v>1</v>
      </c>
      <c r="CS65">
        <v>0</v>
      </c>
      <c r="CT65">
        <v>1</v>
      </c>
      <c r="CU65">
        <v>1</v>
      </c>
      <c r="CV65">
        <v>0</v>
      </c>
    </row>
    <row r="66" spans="1:100">
      <c r="A66">
        <v>0</v>
      </c>
      <c r="B66">
        <v>0</v>
      </c>
      <c r="C66">
        <v>0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0</v>
      </c>
      <c r="K66">
        <v>0</v>
      </c>
      <c r="L66">
        <v>1</v>
      </c>
      <c r="M66">
        <v>1</v>
      </c>
      <c r="N66">
        <v>1</v>
      </c>
      <c r="O66">
        <v>0</v>
      </c>
      <c r="P66">
        <v>-1</v>
      </c>
      <c r="Q66">
        <v>0</v>
      </c>
      <c r="R66">
        <v>1</v>
      </c>
      <c r="S66">
        <v>1</v>
      </c>
      <c r="T66">
        <v>-1</v>
      </c>
      <c r="U66">
        <v>0</v>
      </c>
      <c r="V66">
        <v>0</v>
      </c>
      <c r="W66">
        <v>0</v>
      </c>
      <c r="X66">
        <v>1</v>
      </c>
      <c r="Y66">
        <v>1</v>
      </c>
      <c r="Z66">
        <v>1</v>
      </c>
      <c r="AA66">
        <v>-1</v>
      </c>
      <c r="AB66">
        <v>0</v>
      </c>
      <c r="AC66">
        <v>1</v>
      </c>
      <c r="AD66">
        <v>1</v>
      </c>
      <c r="AE66">
        <v>1</v>
      </c>
      <c r="AF66">
        <v>0</v>
      </c>
      <c r="AG66">
        <v>1</v>
      </c>
      <c r="AH66">
        <v>1</v>
      </c>
      <c r="AI66">
        <v>0</v>
      </c>
      <c r="AJ66">
        <v>1</v>
      </c>
      <c r="AK66">
        <v>1</v>
      </c>
      <c r="AL66">
        <v>1</v>
      </c>
      <c r="AM66">
        <v>1</v>
      </c>
      <c r="AN66">
        <v>0</v>
      </c>
      <c r="AO66">
        <v>0</v>
      </c>
      <c r="AP66">
        <v>-1</v>
      </c>
      <c r="AQ66">
        <v>1</v>
      </c>
      <c r="AR66">
        <v>0</v>
      </c>
      <c r="AS66">
        <v>1</v>
      </c>
      <c r="AT66">
        <v>1</v>
      </c>
      <c r="AU66">
        <v>1</v>
      </c>
      <c r="AV66">
        <v>0</v>
      </c>
      <c r="AW66">
        <v>1</v>
      </c>
      <c r="AX66">
        <v>0</v>
      </c>
      <c r="AY66">
        <v>0</v>
      </c>
      <c r="AZ66">
        <v>1</v>
      </c>
      <c r="BA66">
        <v>-1</v>
      </c>
      <c r="BB66">
        <v>0</v>
      </c>
      <c r="BC66">
        <v>1</v>
      </c>
      <c r="BD66">
        <v>0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0</v>
      </c>
      <c r="BL66">
        <v>0</v>
      </c>
      <c r="BM66">
        <v>0</v>
      </c>
      <c r="BN66">
        <v>-1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1</v>
      </c>
      <c r="BX66">
        <v>0</v>
      </c>
      <c r="BY66">
        <v>1</v>
      </c>
      <c r="BZ66">
        <v>0</v>
      </c>
      <c r="CA66">
        <v>-1</v>
      </c>
      <c r="CB66">
        <v>-1</v>
      </c>
      <c r="CC66">
        <v>-1</v>
      </c>
      <c r="CD66">
        <v>1</v>
      </c>
      <c r="CE66">
        <v>0</v>
      </c>
      <c r="CF66">
        <v>1</v>
      </c>
      <c r="CG66">
        <v>1</v>
      </c>
      <c r="CH66">
        <v>0</v>
      </c>
      <c r="CI66">
        <v>-1</v>
      </c>
      <c r="CJ66">
        <v>-1</v>
      </c>
      <c r="CK66">
        <v>-1</v>
      </c>
      <c r="CL66">
        <v>0</v>
      </c>
      <c r="CM66">
        <v>1</v>
      </c>
      <c r="CN66">
        <v>0</v>
      </c>
      <c r="CO66">
        <v>0</v>
      </c>
      <c r="CP66">
        <v>1</v>
      </c>
      <c r="CQ66">
        <v>1</v>
      </c>
      <c r="CR66">
        <v>0</v>
      </c>
      <c r="CS66">
        <v>1</v>
      </c>
      <c r="CT66">
        <v>-1</v>
      </c>
      <c r="CU66">
        <v>1</v>
      </c>
      <c r="CV66">
        <v>0</v>
      </c>
    </row>
    <row r="67" spans="1:100">
      <c r="A67">
        <v>0</v>
      </c>
      <c r="B67">
        <v>1</v>
      </c>
      <c r="C67">
        <v>0</v>
      </c>
      <c r="D67">
        <v>1</v>
      </c>
      <c r="E67">
        <v>1</v>
      </c>
      <c r="F67">
        <v>0</v>
      </c>
      <c r="G67">
        <v>0</v>
      </c>
      <c r="H67">
        <v>0</v>
      </c>
      <c r="I67">
        <v>1</v>
      </c>
      <c r="J67">
        <v>1</v>
      </c>
      <c r="K67">
        <v>1</v>
      </c>
      <c r="L67">
        <v>1</v>
      </c>
      <c r="M67">
        <v>0</v>
      </c>
      <c r="N67">
        <v>1</v>
      </c>
      <c r="O67">
        <v>1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-1</v>
      </c>
      <c r="Z67">
        <v>1</v>
      </c>
      <c r="AA67">
        <v>0</v>
      </c>
      <c r="AB67">
        <v>0</v>
      </c>
      <c r="AC67">
        <v>-1</v>
      </c>
      <c r="AD67">
        <v>0</v>
      </c>
      <c r="AE67">
        <v>1</v>
      </c>
      <c r="AF67">
        <v>-1</v>
      </c>
      <c r="AG67">
        <v>0</v>
      </c>
      <c r="AH67">
        <v>0</v>
      </c>
      <c r="AI67">
        <v>1</v>
      </c>
      <c r="AJ67">
        <v>-1</v>
      </c>
      <c r="AK67">
        <v>-1</v>
      </c>
      <c r="AL67">
        <v>0</v>
      </c>
      <c r="AM67">
        <v>-1</v>
      </c>
      <c r="AN67">
        <v>0</v>
      </c>
      <c r="AO67">
        <v>1</v>
      </c>
      <c r="AP67">
        <v>0</v>
      </c>
      <c r="AQ67">
        <v>1</v>
      </c>
      <c r="AR67">
        <v>1</v>
      </c>
      <c r="AS67">
        <v>-1</v>
      </c>
      <c r="AT67">
        <v>-1</v>
      </c>
      <c r="AU67">
        <v>0</v>
      </c>
      <c r="AV67">
        <v>0</v>
      </c>
      <c r="AW67">
        <v>0</v>
      </c>
      <c r="AX67">
        <v>-1</v>
      </c>
      <c r="AY67">
        <v>0</v>
      </c>
      <c r="AZ67">
        <v>0</v>
      </c>
      <c r="BA67">
        <v>1</v>
      </c>
      <c r="BB67">
        <v>0</v>
      </c>
      <c r="BC67">
        <v>0</v>
      </c>
      <c r="BD67">
        <v>1</v>
      </c>
      <c r="BE67">
        <v>1</v>
      </c>
      <c r="BF67">
        <v>0</v>
      </c>
      <c r="BG67">
        <v>1</v>
      </c>
      <c r="BH67">
        <v>0</v>
      </c>
      <c r="BI67">
        <v>1</v>
      </c>
      <c r="BJ67">
        <v>1</v>
      </c>
      <c r="BK67">
        <v>0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0</v>
      </c>
      <c r="BR67">
        <v>1</v>
      </c>
      <c r="BS67">
        <v>1</v>
      </c>
      <c r="BT67">
        <v>1</v>
      </c>
      <c r="BU67">
        <v>-1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0</v>
      </c>
      <c r="CC67">
        <v>1</v>
      </c>
      <c r="CD67">
        <v>1</v>
      </c>
      <c r="CE67">
        <v>0</v>
      </c>
      <c r="CF67">
        <v>1</v>
      </c>
      <c r="CG67">
        <v>1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-1</v>
      </c>
      <c r="CT67">
        <v>1</v>
      </c>
      <c r="CU67">
        <v>0</v>
      </c>
      <c r="CV67">
        <v>-1</v>
      </c>
    </row>
    <row r="68" spans="1:100">
      <c r="A68">
        <v>1</v>
      </c>
      <c r="B68">
        <v>1</v>
      </c>
      <c r="C68">
        <v>-1</v>
      </c>
      <c r="D68">
        <v>-1</v>
      </c>
      <c r="E68">
        <v>0</v>
      </c>
      <c r="F68">
        <v>1</v>
      </c>
      <c r="G68">
        <v>1</v>
      </c>
      <c r="H68">
        <v>0</v>
      </c>
      <c r="I68">
        <v>1</v>
      </c>
      <c r="J68">
        <v>0</v>
      </c>
      <c r="K68">
        <v>0</v>
      </c>
      <c r="L68">
        <v>1</v>
      </c>
      <c r="M68">
        <v>-1</v>
      </c>
      <c r="N68">
        <v>0</v>
      </c>
      <c r="O68">
        <v>-1</v>
      </c>
      <c r="P68">
        <v>0</v>
      </c>
      <c r="Q68">
        <v>1</v>
      </c>
      <c r="R68">
        <v>1</v>
      </c>
      <c r="S68">
        <v>1</v>
      </c>
      <c r="T68">
        <v>-1</v>
      </c>
      <c r="U68">
        <v>1</v>
      </c>
      <c r="V68">
        <v>0</v>
      </c>
      <c r="W68">
        <v>-1</v>
      </c>
      <c r="X68">
        <v>1</v>
      </c>
      <c r="Y68">
        <v>1</v>
      </c>
      <c r="Z68">
        <v>0</v>
      </c>
      <c r="AA68">
        <v>1</v>
      </c>
      <c r="AB68">
        <v>0</v>
      </c>
      <c r="AC68">
        <v>0</v>
      </c>
      <c r="AD68">
        <v>1</v>
      </c>
      <c r="AE68">
        <v>0</v>
      </c>
      <c r="AF68">
        <v>1</v>
      </c>
      <c r="AG68">
        <v>1</v>
      </c>
      <c r="AH68">
        <v>0</v>
      </c>
      <c r="AI68">
        <v>0</v>
      </c>
      <c r="AJ68">
        <v>1</v>
      </c>
      <c r="AK68">
        <v>1</v>
      </c>
      <c r="AL68">
        <v>-1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0</v>
      </c>
      <c r="AS68">
        <v>-1</v>
      </c>
      <c r="AT68">
        <v>0</v>
      </c>
      <c r="AU68">
        <v>0</v>
      </c>
      <c r="AV68">
        <v>1</v>
      </c>
      <c r="AW68">
        <v>-1</v>
      </c>
      <c r="AX68">
        <v>1</v>
      </c>
      <c r="AY68">
        <v>0</v>
      </c>
      <c r="AZ68">
        <v>1</v>
      </c>
      <c r="BA68">
        <v>-1</v>
      </c>
      <c r="BB68">
        <v>1</v>
      </c>
      <c r="BC68">
        <v>0</v>
      </c>
      <c r="BD68">
        <v>0</v>
      </c>
      <c r="BE68">
        <v>1</v>
      </c>
      <c r="BF68">
        <v>1</v>
      </c>
      <c r="BG68">
        <v>0</v>
      </c>
      <c r="BH68">
        <v>-1</v>
      </c>
      <c r="BI68">
        <v>0</v>
      </c>
      <c r="BJ68">
        <v>1</v>
      </c>
      <c r="BK68">
        <v>-1</v>
      </c>
      <c r="BL68">
        <v>1</v>
      </c>
      <c r="BM68">
        <v>0</v>
      </c>
      <c r="BN68">
        <v>1</v>
      </c>
      <c r="BO68">
        <v>0</v>
      </c>
      <c r="BP68">
        <v>1</v>
      </c>
      <c r="BQ68">
        <v>1</v>
      </c>
      <c r="BR68">
        <v>-1</v>
      </c>
      <c r="BS68">
        <v>1</v>
      </c>
      <c r="BT68">
        <v>1</v>
      </c>
      <c r="BU68">
        <v>1</v>
      </c>
      <c r="BV68">
        <v>0</v>
      </c>
      <c r="BW68">
        <v>0</v>
      </c>
      <c r="BX68">
        <v>0</v>
      </c>
      <c r="BY68">
        <v>1</v>
      </c>
      <c r="BZ68">
        <v>0</v>
      </c>
      <c r="CA68">
        <v>-1</v>
      </c>
      <c r="CB68">
        <v>0</v>
      </c>
      <c r="CC68">
        <v>1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1</v>
      </c>
      <c r="CJ68">
        <v>1</v>
      </c>
      <c r="CK68">
        <v>0</v>
      </c>
      <c r="CL68">
        <v>1</v>
      </c>
      <c r="CM68">
        <v>1</v>
      </c>
      <c r="CN68">
        <v>0</v>
      </c>
      <c r="CO68">
        <v>1</v>
      </c>
      <c r="CP68">
        <v>0</v>
      </c>
      <c r="CQ68">
        <v>0</v>
      </c>
      <c r="CR68">
        <v>1</v>
      </c>
      <c r="CS68">
        <v>0</v>
      </c>
      <c r="CT68">
        <v>1</v>
      </c>
      <c r="CU68">
        <v>0</v>
      </c>
      <c r="CV68">
        <v>0</v>
      </c>
    </row>
    <row r="69" spans="1:100">
      <c r="A69">
        <v>1</v>
      </c>
      <c r="B69">
        <v>1</v>
      </c>
      <c r="C69">
        <v>1</v>
      </c>
      <c r="D69">
        <v>0</v>
      </c>
      <c r="E69">
        <v>0</v>
      </c>
      <c r="F69">
        <v>0</v>
      </c>
      <c r="G69">
        <v>0</v>
      </c>
      <c r="H69">
        <v>1</v>
      </c>
      <c r="I69">
        <v>1</v>
      </c>
      <c r="J69">
        <v>1</v>
      </c>
      <c r="K69">
        <v>1</v>
      </c>
      <c r="L69">
        <v>0</v>
      </c>
      <c r="M69">
        <v>1</v>
      </c>
      <c r="N69">
        <v>1</v>
      </c>
      <c r="O69">
        <v>1</v>
      </c>
      <c r="P69">
        <v>-1</v>
      </c>
      <c r="Q69">
        <v>0</v>
      </c>
      <c r="R69">
        <v>1</v>
      </c>
      <c r="S69">
        <v>0</v>
      </c>
      <c r="T69">
        <v>0</v>
      </c>
      <c r="U69">
        <v>-1</v>
      </c>
      <c r="V69">
        <v>1</v>
      </c>
      <c r="W69">
        <v>1</v>
      </c>
      <c r="X69">
        <v>1</v>
      </c>
      <c r="Y69">
        <v>1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-1</v>
      </c>
      <c r="AF69">
        <v>0</v>
      </c>
      <c r="AG69">
        <v>-1</v>
      </c>
      <c r="AH69">
        <v>0</v>
      </c>
      <c r="AI69">
        <v>0</v>
      </c>
      <c r="AJ69">
        <v>0</v>
      </c>
      <c r="AK69">
        <v>-1</v>
      </c>
      <c r="AL69">
        <v>0</v>
      </c>
      <c r="AM69">
        <v>0</v>
      </c>
      <c r="AN69">
        <v>1</v>
      </c>
      <c r="AO69">
        <v>0</v>
      </c>
      <c r="AP69">
        <v>-1</v>
      </c>
      <c r="AQ69">
        <v>1</v>
      </c>
      <c r="AR69">
        <v>0</v>
      </c>
      <c r="AS69">
        <v>0</v>
      </c>
      <c r="AT69">
        <v>0</v>
      </c>
      <c r="AU69">
        <v>1</v>
      </c>
      <c r="AV69">
        <v>0</v>
      </c>
      <c r="AW69">
        <v>1</v>
      </c>
      <c r="AX69">
        <v>1</v>
      </c>
      <c r="AY69">
        <v>1</v>
      </c>
      <c r="AZ69">
        <v>-1</v>
      </c>
      <c r="BA69">
        <v>0</v>
      </c>
      <c r="BB69">
        <v>1</v>
      </c>
      <c r="BC69">
        <v>0</v>
      </c>
      <c r="BD69">
        <v>1</v>
      </c>
      <c r="BE69">
        <v>1</v>
      </c>
      <c r="BF69">
        <v>0</v>
      </c>
      <c r="BG69">
        <v>1</v>
      </c>
      <c r="BH69">
        <v>-1</v>
      </c>
      <c r="BI69">
        <v>0</v>
      </c>
      <c r="BJ69">
        <v>0</v>
      </c>
      <c r="BK69">
        <v>1</v>
      </c>
      <c r="BL69">
        <v>0</v>
      </c>
      <c r="BM69">
        <v>0</v>
      </c>
      <c r="BN69">
        <v>1</v>
      </c>
      <c r="BO69">
        <v>0</v>
      </c>
      <c r="BP69">
        <v>1</v>
      </c>
      <c r="BQ69">
        <v>0</v>
      </c>
      <c r="BR69">
        <v>-1</v>
      </c>
      <c r="BS69">
        <v>1</v>
      </c>
      <c r="BT69">
        <v>0</v>
      </c>
      <c r="BU69">
        <v>0</v>
      </c>
      <c r="BV69">
        <v>1</v>
      </c>
      <c r="BW69">
        <v>0</v>
      </c>
      <c r="BX69">
        <v>1</v>
      </c>
      <c r="BY69">
        <v>0</v>
      </c>
      <c r="BZ69">
        <v>1</v>
      </c>
      <c r="CA69">
        <v>1</v>
      </c>
      <c r="CB69">
        <v>1</v>
      </c>
      <c r="CC69">
        <v>1</v>
      </c>
      <c r="CD69">
        <v>0</v>
      </c>
      <c r="CE69">
        <v>1</v>
      </c>
      <c r="CF69">
        <v>0</v>
      </c>
      <c r="CG69">
        <v>0</v>
      </c>
      <c r="CH69">
        <v>1</v>
      </c>
      <c r="CI69">
        <v>1</v>
      </c>
      <c r="CJ69">
        <v>0</v>
      </c>
      <c r="CK69">
        <v>0</v>
      </c>
      <c r="CL69">
        <v>1</v>
      </c>
      <c r="CM69">
        <v>1</v>
      </c>
      <c r="CN69">
        <v>1</v>
      </c>
      <c r="CO69">
        <v>0</v>
      </c>
      <c r="CP69">
        <v>0</v>
      </c>
      <c r="CQ69">
        <v>0</v>
      </c>
      <c r="CR69">
        <v>-1</v>
      </c>
      <c r="CS69">
        <v>0</v>
      </c>
      <c r="CT69">
        <v>0</v>
      </c>
      <c r="CU69">
        <v>0</v>
      </c>
      <c r="CV69">
        <v>1</v>
      </c>
    </row>
    <row r="70" spans="1:100">
      <c r="A70">
        <v>1</v>
      </c>
      <c r="B70">
        <v>1</v>
      </c>
      <c r="C70">
        <v>0</v>
      </c>
      <c r="D70">
        <v>1</v>
      </c>
      <c r="E70">
        <v>1</v>
      </c>
      <c r="F70">
        <v>0</v>
      </c>
      <c r="G70">
        <v>0</v>
      </c>
      <c r="H70">
        <v>1</v>
      </c>
      <c r="I70">
        <v>1</v>
      </c>
      <c r="J70">
        <v>0</v>
      </c>
      <c r="K70">
        <v>-1</v>
      </c>
      <c r="L70">
        <v>1</v>
      </c>
      <c r="M70">
        <v>0</v>
      </c>
      <c r="N70">
        <v>1</v>
      </c>
      <c r="O70">
        <v>0</v>
      </c>
      <c r="P70">
        <v>1</v>
      </c>
      <c r="Q70">
        <v>1</v>
      </c>
      <c r="R70">
        <v>1</v>
      </c>
      <c r="S70">
        <v>1</v>
      </c>
      <c r="T70">
        <v>1</v>
      </c>
      <c r="U70">
        <v>0</v>
      </c>
      <c r="V70">
        <v>1</v>
      </c>
      <c r="W70">
        <v>1</v>
      </c>
      <c r="X70">
        <v>1</v>
      </c>
      <c r="Y70">
        <v>0</v>
      </c>
      <c r="Z70">
        <v>1</v>
      </c>
      <c r="AA70">
        <v>1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1</v>
      </c>
      <c r="AI70">
        <v>1</v>
      </c>
      <c r="AJ70">
        <v>0</v>
      </c>
      <c r="AK70">
        <v>1</v>
      </c>
      <c r="AL70">
        <v>0</v>
      </c>
      <c r="AM70">
        <v>1</v>
      </c>
      <c r="AN70">
        <v>0</v>
      </c>
      <c r="AO70">
        <v>1</v>
      </c>
      <c r="AP70">
        <v>1</v>
      </c>
      <c r="AQ70">
        <v>0</v>
      </c>
      <c r="AR70">
        <v>0</v>
      </c>
      <c r="AS70">
        <v>0</v>
      </c>
      <c r="AT70">
        <v>1</v>
      </c>
      <c r="AU70">
        <v>0</v>
      </c>
      <c r="AV70">
        <v>0</v>
      </c>
      <c r="AW70">
        <v>0</v>
      </c>
      <c r="AX70">
        <v>1</v>
      </c>
      <c r="AY70">
        <v>1</v>
      </c>
      <c r="AZ70">
        <v>1</v>
      </c>
      <c r="BA70">
        <v>1</v>
      </c>
      <c r="BB70">
        <v>0</v>
      </c>
      <c r="BC70">
        <v>0</v>
      </c>
      <c r="BD70">
        <v>0</v>
      </c>
      <c r="BE70">
        <v>1</v>
      </c>
      <c r="BF70">
        <v>0</v>
      </c>
      <c r="BG70">
        <v>0</v>
      </c>
      <c r="BH70">
        <v>0</v>
      </c>
      <c r="BI70">
        <v>1</v>
      </c>
      <c r="BJ70">
        <v>0</v>
      </c>
      <c r="BK70">
        <v>1</v>
      </c>
      <c r="BL70">
        <v>1</v>
      </c>
      <c r="BM70">
        <v>0</v>
      </c>
      <c r="BN70">
        <v>0</v>
      </c>
      <c r="BO70">
        <v>1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1</v>
      </c>
      <c r="BV70">
        <v>0</v>
      </c>
      <c r="BW70">
        <v>1</v>
      </c>
      <c r="BX70">
        <v>0</v>
      </c>
      <c r="BY70">
        <v>1</v>
      </c>
      <c r="BZ70">
        <v>0</v>
      </c>
      <c r="CA70">
        <v>1</v>
      </c>
      <c r="CB70">
        <v>1</v>
      </c>
      <c r="CC70">
        <v>-1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1</v>
      </c>
      <c r="CJ70">
        <v>1</v>
      </c>
      <c r="CK70">
        <v>1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1</v>
      </c>
      <c r="CT70">
        <v>1</v>
      </c>
      <c r="CU70">
        <v>0</v>
      </c>
      <c r="CV70">
        <v>0</v>
      </c>
    </row>
    <row r="71" spans="1:100">
      <c r="A71">
        <v>0</v>
      </c>
      <c r="B71">
        <v>1</v>
      </c>
      <c r="C71">
        <v>1</v>
      </c>
      <c r="D71">
        <v>0</v>
      </c>
      <c r="E71">
        <v>1</v>
      </c>
      <c r="F71">
        <v>1</v>
      </c>
      <c r="G71">
        <v>1</v>
      </c>
      <c r="H71">
        <v>1</v>
      </c>
      <c r="I71">
        <v>0</v>
      </c>
      <c r="J71">
        <v>-1</v>
      </c>
      <c r="K71">
        <v>1</v>
      </c>
      <c r="L71">
        <v>1</v>
      </c>
      <c r="M71">
        <v>1</v>
      </c>
      <c r="N71">
        <v>0</v>
      </c>
      <c r="O71">
        <v>-1</v>
      </c>
      <c r="P71">
        <v>1</v>
      </c>
      <c r="Q71">
        <v>0</v>
      </c>
      <c r="R71">
        <v>1</v>
      </c>
      <c r="S71">
        <v>0</v>
      </c>
      <c r="T71">
        <v>-1</v>
      </c>
      <c r="U71">
        <v>1</v>
      </c>
      <c r="V71">
        <v>1</v>
      </c>
      <c r="W71">
        <v>1</v>
      </c>
      <c r="X71">
        <v>0</v>
      </c>
      <c r="Y71">
        <v>1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-1</v>
      </c>
      <c r="AF71">
        <v>0</v>
      </c>
      <c r="AG71">
        <v>-1</v>
      </c>
      <c r="AH71">
        <v>-1</v>
      </c>
      <c r="AI71">
        <v>0</v>
      </c>
      <c r="AJ71">
        <v>0</v>
      </c>
      <c r="AK71">
        <v>0</v>
      </c>
      <c r="AL71">
        <v>0</v>
      </c>
      <c r="AM71">
        <v>1</v>
      </c>
      <c r="AN71">
        <v>1</v>
      </c>
      <c r="AO71">
        <v>-1</v>
      </c>
      <c r="AP71">
        <v>0</v>
      </c>
      <c r="AQ71">
        <v>-1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0</v>
      </c>
      <c r="AZ71">
        <v>0</v>
      </c>
      <c r="BA71">
        <v>1</v>
      </c>
      <c r="BB71">
        <v>-1</v>
      </c>
      <c r="BC71">
        <v>1</v>
      </c>
      <c r="BD71">
        <v>1</v>
      </c>
      <c r="BE71">
        <v>0</v>
      </c>
      <c r="BF71">
        <v>0</v>
      </c>
      <c r="BG71">
        <v>1</v>
      </c>
      <c r="BH71">
        <v>1</v>
      </c>
      <c r="BI71">
        <v>1</v>
      </c>
      <c r="BJ71">
        <v>0</v>
      </c>
      <c r="BK71">
        <v>1</v>
      </c>
      <c r="BL71">
        <v>1</v>
      </c>
      <c r="BM71">
        <v>1</v>
      </c>
      <c r="BN71">
        <v>0</v>
      </c>
      <c r="BO71">
        <v>0</v>
      </c>
      <c r="BP71">
        <v>1</v>
      </c>
      <c r="BQ71">
        <v>0</v>
      </c>
      <c r="BR71">
        <v>1</v>
      </c>
      <c r="BS71">
        <v>1</v>
      </c>
      <c r="BT71">
        <v>1</v>
      </c>
      <c r="BU71">
        <v>0</v>
      </c>
      <c r="BV71">
        <v>0</v>
      </c>
      <c r="BW71">
        <v>1</v>
      </c>
      <c r="BX71">
        <v>0</v>
      </c>
      <c r="BY71">
        <v>0</v>
      </c>
      <c r="BZ71">
        <v>0</v>
      </c>
      <c r="CA71">
        <v>1</v>
      </c>
      <c r="CB71">
        <v>-1</v>
      </c>
      <c r="CC71">
        <v>0</v>
      </c>
      <c r="CD71">
        <v>0</v>
      </c>
      <c r="CE71">
        <v>1</v>
      </c>
      <c r="CF71">
        <v>0</v>
      </c>
      <c r="CG71">
        <v>0</v>
      </c>
      <c r="CH71">
        <v>0</v>
      </c>
      <c r="CI71">
        <v>1</v>
      </c>
      <c r="CJ71">
        <v>0</v>
      </c>
      <c r="CK71">
        <v>0</v>
      </c>
      <c r="CL71">
        <v>-1</v>
      </c>
      <c r="CM71">
        <v>-1</v>
      </c>
      <c r="CN71">
        <v>0</v>
      </c>
      <c r="CO71">
        <v>0</v>
      </c>
      <c r="CP71">
        <v>1</v>
      </c>
      <c r="CQ71">
        <v>0</v>
      </c>
      <c r="CR71">
        <v>0</v>
      </c>
      <c r="CS71">
        <v>0</v>
      </c>
      <c r="CT71">
        <v>0</v>
      </c>
      <c r="CU71">
        <v>1</v>
      </c>
      <c r="CV71">
        <v>0</v>
      </c>
    </row>
    <row r="72" spans="1:100">
      <c r="A72">
        <v>0</v>
      </c>
      <c r="B72">
        <v>0</v>
      </c>
      <c r="C72">
        <v>0</v>
      </c>
      <c r="D72">
        <v>1</v>
      </c>
      <c r="E72">
        <v>0</v>
      </c>
      <c r="F72">
        <v>0</v>
      </c>
      <c r="G72">
        <v>-1</v>
      </c>
      <c r="H72">
        <v>-1</v>
      </c>
      <c r="I72">
        <v>0</v>
      </c>
      <c r="J72">
        <v>0</v>
      </c>
      <c r="K72">
        <v>1</v>
      </c>
      <c r="L72">
        <v>1</v>
      </c>
      <c r="M72">
        <v>1</v>
      </c>
      <c r="N72">
        <v>1</v>
      </c>
      <c r="O72">
        <v>1</v>
      </c>
      <c r="P72">
        <v>0</v>
      </c>
      <c r="Q72">
        <v>-1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1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1</v>
      </c>
      <c r="AI72">
        <v>1</v>
      </c>
      <c r="AJ72">
        <v>0</v>
      </c>
      <c r="AK72">
        <v>1</v>
      </c>
      <c r="AL72">
        <v>0</v>
      </c>
      <c r="AM72">
        <v>0</v>
      </c>
      <c r="AN72">
        <v>1</v>
      </c>
      <c r="AO72">
        <v>0</v>
      </c>
      <c r="AP72">
        <v>1</v>
      </c>
      <c r="AQ72">
        <v>0</v>
      </c>
      <c r="AR72">
        <v>0</v>
      </c>
      <c r="AS72">
        <v>0</v>
      </c>
      <c r="AT72">
        <v>1</v>
      </c>
      <c r="AU72">
        <v>0</v>
      </c>
      <c r="AV72">
        <v>1</v>
      </c>
      <c r="AW72">
        <v>0</v>
      </c>
      <c r="AX72">
        <v>1</v>
      </c>
      <c r="AY72">
        <v>1</v>
      </c>
      <c r="AZ72">
        <v>0</v>
      </c>
      <c r="BA72">
        <v>1</v>
      </c>
      <c r="BB72">
        <v>1</v>
      </c>
      <c r="BC72">
        <v>0</v>
      </c>
      <c r="BD72">
        <v>0</v>
      </c>
      <c r="BE72">
        <v>0</v>
      </c>
      <c r="BF72">
        <v>1</v>
      </c>
      <c r="BG72">
        <v>1</v>
      </c>
      <c r="BH72">
        <v>0</v>
      </c>
      <c r="BI72">
        <v>0</v>
      </c>
      <c r="BJ72">
        <v>1</v>
      </c>
      <c r="BK72">
        <v>0</v>
      </c>
      <c r="BL72">
        <v>0</v>
      </c>
      <c r="BM72">
        <v>1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-1</v>
      </c>
      <c r="BT72">
        <v>0</v>
      </c>
      <c r="BU72">
        <v>1</v>
      </c>
      <c r="BV72">
        <v>1</v>
      </c>
      <c r="BW72">
        <v>1</v>
      </c>
      <c r="BX72">
        <v>1</v>
      </c>
      <c r="BY72">
        <v>-1</v>
      </c>
      <c r="BZ72">
        <v>0</v>
      </c>
      <c r="CA72">
        <v>1</v>
      </c>
      <c r="CB72">
        <v>1</v>
      </c>
      <c r="CC72">
        <v>1</v>
      </c>
      <c r="CD72">
        <v>-1</v>
      </c>
      <c r="CE72">
        <v>1</v>
      </c>
      <c r="CF72">
        <v>0</v>
      </c>
      <c r="CG72">
        <v>0</v>
      </c>
      <c r="CH72">
        <v>0</v>
      </c>
      <c r="CI72">
        <v>1</v>
      </c>
      <c r="CJ72">
        <v>0</v>
      </c>
      <c r="CK72">
        <v>1</v>
      </c>
      <c r="CL72">
        <v>1</v>
      </c>
      <c r="CM72">
        <v>0</v>
      </c>
      <c r="CN72">
        <v>0</v>
      </c>
      <c r="CO72">
        <v>0</v>
      </c>
      <c r="CP72">
        <v>1</v>
      </c>
      <c r="CQ72">
        <v>-1</v>
      </c>
      <c r="CR72">
        <v>1</v>
      </c>
      <c r="CS72">
        <v>0</v>
      </c>
      <c r="CT72">
        <v>1</v>
      </c>
      <c r="CU72">
        <v>1</v>
      </c>
      <c r="CV72">
        <v>1</v>
      </c>
    </row>
    <row r="73" spans="1:100">
      <c r="A73">
        <v>0</v>
      </c>
      <c r="B73">
        <v>0</v>
      </c>
      <c r="C73">
        <v>0</v>
      </c>
      <c r="D73">
        <v>0</v>
      </c>
      <c r="E73">
        <v>-1</v>
      </c>
      <c r="F73">
        <v>0</v>
      </c>
      <c r="G73">
        <v>1</v>
      </c>
      <c r="H73">
        <v>1</v>
      </c>
      <c r="I73">
        <v>0</v>
      </c>
      <c r="J73">
        <v>1</v>
      </c>
      <c r="K73">
        <v>0</v>
      </c>
      <c r="L73">
        <v>1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1</v>
      </c>
      <c r="T73">
        <v>1</v>
      </c>
      <c r="U73">
        <v>1</v>
      </c>
      <c r="V73">
        <v>-1</v>
      </c>
      <c r="W73">
        <v>0</v>
      </c>
      <c r="X73">
        <v>0</v>
      </c>
      <c r="Y73">
        <v>0</v>
      </c>
      <c r="Z73">
        <v>1</v>
      </c>
      <c r="AA73">
        <v>1</v>
      </c>
      <c r="AB73">
        <v>0</v>
      </c>
      <c r="AC73">
        <v>0</v>
      </c>
      <c r="AD73">
        <v>1</v>
      </c>
      <c r="AE73">
        <v>1</v>
      </c>
      <c r="AF73">
        <v>0</v>
      </c>
      <c r="AG73">
        <v>0</v>
      </c>
      <c r="AH73">
        <v>-1</v>
      </c>
      <c r="AI73">
        <v>1</v>
      </c>
      <c r="AJ73">
        <v>1</v>
      </c>
      <c r="AK73">
        <v>0</v>
      </c>
      <c r="AL73">
        <v>-1</v>
      </c>
      <c r="AM73">
        <v>1</v>
      </c>
      <c r="AN73">
        <v>0</v>
      </c>
      <c r="AO73">
        <v>0</v>
      </c>
      <c r="AP73">
        <v>-1</v>
      </c>
      <c r="AQ73">
        <v>0</v>
      </c>
      <c r="AR73">
        <v>1</v>
      </c>
      <c r="AS73">
        <v>1</v>
      </c>
      <c r="AT73">
        <v>0</v>
      </c>
      <c r="AU73">
        <v>1</v>
      </c>
      <c r="AV73">
        <v>1</v>
      </c>
      <c r="AW73">
        <v>1</v>
      </c>
      <c r="AX73">
        <v>0</v>
      </c>
      <c r="AY73">
        <v>1</v>
      </c>
      <c r="AZ73">
        <v>1</v>
      </c>
      <c r="BA73">
        <v>1</v>
      </c>
      <c r="BB73">
        <v>0</v>
      </c>
      <c r="BC73">
        <v>1</v>
      </c>
      <c r="BD73">
        <v>0</v>
      </c>
      <c r="BE73">
        <v>0</v>
      </c>
      <c r="BF73">
        <v>0</v>
      </c>
      <c r="BG73">
        <v>-1</v>
      </c>
      <c r="BH73">
        <v>1</v>
      </c>
      <c r="BI73">
        <v>0</v>
      </c>
      <c r="BJ73">
        <v>0</v>
      </c>
      <c r="BK73">
        <v>1</v>
      </c>
      <c r="BL73">
        <v>1</v>
      </c>
      <c r="BM73">
        <v>1</v>
      </c>
      <c r="BN73">
        <v>1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1</v>
      </c>
      <c r="BW73">
        <v>1</v>
      </c>
      <c r="BX73">
        <v>0</v>
      </c>
      <c r="BY73">
        <v>-1</v>
      </c>
      <c r="BZ73">
        <v>0</v>
      </c>
      <c r="CA73">
        <v>0</v>
      </c>
      <c r="CB73">
        <v>0</v>
      </c>
      <c r="CC73">
        <v>0</v>
      </c>
      <c r="CD73">
        <v>1</v>
      </c>
      <c r="CE73">
        <v>1</v>
      </c>
      <c r="CF73">
        <v>0</v>
      </c>
      <c r="CG73">
        <v>0</v>
      </c>
      <c r="CH73">
        <v>0</v>
      </c>
      <c r="CI73">
        <v>0</v>
      </c>
      <c r="CJ73">
        <v>1</v>
      </c>
      <c r="CK73">
        <v>1</v>
      </c>
      <c r="CL73">
        <v>1</v>
      </c>
      <c r="CM73">
        <v>0</v>
      </c>
      <c r="CN73">
        <v>1</v>
      </c>
      <c r="CO73">
        <v>1</v>
      </c>
      <c r="CP73">
        <v>1</v>
      </c>
      <c r="CQ73">
        <v>0</v>
      </c>
      <c r="CR73">
        <v>1</v>
      </c>
      <c r="CS73">
        <v>0</v>
      </c>
      <c r="CT73">
        <v>-1</v>
      </c>
      <c r="CU73">
        <v>1</v>
      </c>
      <c r="CV73">
        <v>-1</v>
      </c>
    </row>
    <row r="74" spans="1:100">
      <c r="A74">
        <v>-1</v>
      </c>
      <c r="B74">
        <v>0</v>
      </c>
      <c r="C74">
        <v>0</v>
      </c>
      <c r="D74">
        <v>1</v>
      </c>
      <c r="E74">
        <v>0</v>
      </c>
      <c r="F74">
        <v>1</v>
      </c>
      <c r="G74">
        <v>1</v>
      </c>
      <c r="H74">
        <v>1</v>
      </c>
      <c r="I74">
        <v>0</v>
      </c>
      <c r="J74">
        <v>0</v>
      </c>
      <c r="K74">
        <v>0</v>
      </c>
      <c r="L74">
        <v>1</v>
      </c>
      <c r="M74">
        <v>1</v>
      </c>
      <c r="N74">
        <v>1</v>
      </c>
      <c r="O74">
        <v>0</v>
      </c>
      <c r="P74">
        <v>0</v>
      </c>
      <c r="Q74">
        <v>0</v>
      </c>
      <c r="R74">
        <v>1</v>
      </c>
      <c r="S74">
        <v>1</v>
      </c>
      <c r="T74">
        <v>1</v>
      </c>
      <c r="U74">
        <v>0</v>
      </c>
      <c r="V74">
        <v>1</v>
      </c>
      <c r="W74">
        <v>0</v>
      </c>
      <c r="X74">
        <v>1</v>
      </c>
      <c r="Y74">
        <v>-1</v>
      </c>
      <c r="Z74">
        <v>1</v>
      </c>
      <c r="AA74">
        <v>0</v>
      </c>
      <c r="AB74">
        <v>1</v>
      </c>
      <c r="AC74">
        <v>-1</v>
      </c>
      <c r="AD74">
        <v>1</v>
      </c>
      <c r="AE74">
        <v>0</v>
      </c>
      <c r="AF74">
        <v>1</v>
      </c>
      <c r="AG74">
        <v>1</v>
      </c>
      <c r="AH74">
        <v>1</v>
      </c>
      <c r="AI74">
        <v>0</v>
      </c>
      <c r="AJ74">
        <v>1</v>
      </c>
      <c r="AK74">
        <v>0</v>
      </c>
      <c r="AL74">
        <v>1</v>
      </c>
      <c r="AM74">
        <v>1</v>
      </c>
      <c r="AN74">
        <v>0</v>
      </c>
      <c r="AO74">
        <v>0</v>
      </c>
      <c r="AP74">
        <v>0</v>
      </c>
      <c r="AQ74">
        <v>1</v>
      </c>
      <c r="AR74">
        <v>1</v>
      </c>
      <c r="AS74">
        <v>0</v>
      </c>
      <c r="AT74">
        <v>0</v>
      </c>
      <c r="AU74">
        <v>1</v>
      </c>
      <c r="AV74">
        <v>0</v>
      </c>
      <c r="AW74">
        <v>0</v>
      </c>
      <c r="AX74">
        <v>0</v>
      </c>
      <c r="AY74">
        <v>1</v>
      </c>
      <c r="AZ74">
        <v>0</v>
      </c>
      <c r="BA74">
        <v>1</v>
      </c>
      <c r="BB74">
        <v>1</v>
      </c>
      <c r="BC74">
        <v>0</v>
      </c>
      <c r="BD74">
        <v>1</v>
      </c>
      <c r="BE74">
        <v>1</v>
      </c>
      <c r="BF74">
        <v>0</v>
      </c>
      <c r="BG74">
        <v>0</v>
      </c>
      <c r="BH74">
        <v>1</v>
      </c>
      <c r="BI74">
        <v>0</v>
      </c>
      <c r="BJ74">
        <v>0</v>
      </c>
      <c r="BK74">
        <v>1</v>
      </c>
      <c r="BL74">
        <v>1</v>
      </c>
      <c r="BM74">
        <v>1</v>
      </c>
      <c r="BN74">
        <v>-1</v>
      </c>
      <c r="BO74">
        <v>-1</v>
      </c>
      <c r="BP74">
        <v>0</v>
      </c>
      <c r="BQ74">
        <v>1</v>
      </c>
      <c r="BR74">
        <v>0</v>
      </c>
      <c r="BS74">
        <v>-1</v>
      </c>
      <c r="BT74">
        <v>0</v>
      </c>
      <c r="BU74">
        <v>0</v>
      </c>
      <c r="BV74">
        <v>1</v>
      </c>
      <c r="BW74">
        <v>1</v>
      </c>
      <c r="BX74">
        <v>1</v>
      </c>
      <c r="BY74">
        <v>-1</v>
      </c>
      <c r="BZ74">
        <v>0</v>
      </c>
      <c r="CA74">
        <v>-1</v>
      </c>
      <c r="CB74">
        <v>0</v>
      </c>
      <c r="CC74">
        <v>0</v>
      </c>
      <c r="CD74">
        <v>1</v>
      </c>
      <c r="CE74">
        <v>0</v>
      </c>
      <c r="CF74">
        <v>1</v>
      </c>
      <c r="CG74">
        <v>0</v>
      </c>
      <c r="CH74">
        <v>1</v>
      </c>
      <c r="CI74">
        <v>1</v>
      </c>
      <c r="CJ74">
        <v>1</v>
      </c>
      <c r="CK74">
        <v>0</v>
      </c>
      <c r="CL74">
        <v>0</v>
      </c>
      <c r="CM74">
        <v>-1</v>
      </c>
      <c r="CN74">
        <v>0</v>
      </c>
      <c r="CO74">
        <v>1</v>
      </c>
      <c r="CP74">
        <v>0</v>
      </c>
      <c r="CQ74">
        <v>-1</v>
      </c>
      <c r="CR74">
        <v>-1</v>
      </c>
      <c r="CS74">
        <v>0</v>
      </c>
      <c r="CT74">
        <v>-1</v>
      </c>
      <c r="CU74">
        <v>1</v>
      </c>
      <c r="CV74">
        <v>0</v>
      </c>
    </row>
    <row r="75" spans="1:100">
      <c r="A75">
        <v>1</v>
      </c>
      <c r="B75">
        <v>0</v>
      </c>
      <c r="C75">
        <v>1</v>
      </c>
      <c r="D75">
        <v>0</v>
      </c>
      <c r="E75">
        <v>1</v>
      </c>
      <c r="F75">
        <v>0</v>
      </c>
      <c r="G75">
        <v>0</v>
      </c>
      <c r="H75">
        <v>1</v>
      </c>
      <c r="I75">
        <v>0</v>
      </c>
      <c r="J75">
        <v>0</v>
      </c>
      <c r="K75">
        <v>1</v>
      </c>
      <c r="L75">
        <v>1</v>
      </c>
      <c r="M75">
        <v>1</v>
      </c>
      <c r="N75">
        <v>0</v>
      </c>
      <c r="O75">
        <v>0</v>
      </c>
      <c r="P75">
        <v>1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1</v>
      </c>
      <c r="X75">
        <v>1</v>
      </c>
      <c r="Y75">
        <v>0</v>
      </c>
      <c r="Z75">
        <v>0</v>
      </c>
      <c r="AA75">
        <v>1</v>
      </c>
      <c r="AB75">
        <v>1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1</v>
      </c>
      <c r="AK75">
        <v>0</v>
      </c>
      <c r="AL75">
        <v>0</v>
      </c>
      <c r="AM75">
        <v>1</v>
      </c>
      <c r="AN75">
        <v>0</v>
      </c>
      <c r="AO75">
        <v>-1</v>
      </c>
      <c r="AP75">
        <v>0</v>
      </c>
      <c r="AQ75">
        <v>-1</v>
      </c>
      <c r="AR75">
        <v>1</v>
      </c>
      <c r="AS75">
        <v>1</v>
      </c>
      <c r="AT75">
        <v>0</v>
      </c>
      <c r="AU75">
        <v>0</v>
      </c>
      <c r="AV75">
        <v>-1</v>
      </c>
      <c r="AW75">
        <v>0</v>
      </c>
      <c r="AX75">
        <v>-1</v>
      </c>
      <c r="AY75">
        <v>0</v>
      </c>
      <c r="AZ75">
        <v>0</v>
      </c>
      <c r="BA75">
        <v>0</v>
      </c>
      <c r="BB75">
        <v>0</v>
      </c>
      <c r="BC75">
        <v>1</v>
      </c>
      <c r="BD75">
        <v>1</v>
      </c>
      <c r="BE75">
        <v>1</v>
      </c>
      <c r="BF75">
        <v>0</v>
      </c>
      <c r="BG75">
        <v>1</v>
      </c>
      <c r="BH75">
        <v>1</v>
      </c>
      <c r="BI75">
        <v>1</v>
      </c>
      <c r="BJ75">
        <v>0</v>
      </c>
      <c r="BK75">
        <v>0</v>
      </c>
      <c r="BL75">
        <v>1</v>
      </c>
      <c r="BM75">
        <v>0</v>
      </c>
      <c r="BN75">
        <v>0</v>
      </c>
      <c r="BO75">
        <v>1</v>
      </c>
      <c r="BP75">
        <v>1</v>
      </c>
      <c r="BQ75">
        <v>0</v>
      </c>
      <c r="BR75">
        <v>1</v>
      </c>
      <c r="BS75">
        <v>-1</v>
      </c>
      <c r="BT75">
        <v>1</v>
      </c>
      <c r="BU75">
        <v>1</v>
      </c>
      <c r="BV75">
        <v>0</v>
      </c>
      <c r="BW75">
        <v>0</v>
      </c>
      <c r="BX75">
        <v>0</v>
      </c>
      <c r="BY75">
        <v>-1</v>
      </c>
      <c r="BZ75">
        <v>0</v>
      </c>
      <c r="CA75">
        <v>0</v>
      </c>
      <c r="CB75">
        <v>0</v>
      </c>
      <c r="CC75">
        <v>1</v>
      </c>
      <c r="CD75">
        <v>1</v>
      </c>
      <c r="CE75">
        <v>0</v>
      </c>
      <c r="CF75">
        <v>0</v>
      </c>
      <c r="CG75">
        <v>1</v>
      </c>
      <c r="CH75">
        <v>0</v>
      </c>
      <c r="CI75">
        <v>1</v>
      </c>
      <c r="CJ75">
        <v>1</v>
      </c>
      <c r="CK75">
        <v>1</v>
      </c>
      <c r="CL75">
        <v>0</v>
      </c>
      <c r="CM75">
        <v>0</v>
      </c>
      <c r="CN75">
        <v>0</v>
      </c>
      <c r="CO75">
        <v>-1</v>
      </c>
      <c r="CP75">
        <v>0</v>
      </c>
      <c r="CQ75">
        <v>1</v>
      </c>
      <c r="CR75">
        <v>0</v>
      </c>
      <c r="CS75">
        <v>1</v>
      </c>
      <c r="CT75">
        <v>1</v>
      </c>
      <c r="CU75">
        <v>1</v>
      </c>
      <c r="CV75">
        <v>0</v>
      </c>
    </row>
    <row r="76" spans="1:100">
      <c r="A76">
        <v>1</v>
      </c>
      <c r="B76">
        <v>0</v>
      </c>
      <c r="C76">
        <v>0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1</v>
      </c>
      <c r="N76">
        <v>1</v>
      </c>
      <c r="O76">
        <v>0</v>
      </c>
      <c r="P76">
        <v>0</v>
      </c>
      <c r="Q76">
        <v>0</v>
      </c>
      <c r="R76">
        <v>-1</v>
      </c>
      <c r="S76">
        <v>0</v>
      </c>
      <c r="T76">
        <v>-1</v>
      </c>
      <c r="U76">
        <v>-1</v>
      </c>
      <c r="V76">
        <v>1</v>
      </c>
      <c r="W76">
        <v>0</v>
      </c>
      <c r="X76">
        <v>0</v>
      </c>
      <c r="Y76">
        <v>0</v>
      </c>
      <c r="Z76">
        <v>1</v>
      </c>
      <c r="AA76">
        <v>-1</v>
      </c>
      <c r="AB76">
        <v>1</v>
      </c>
      <c r="AC76">
        <v>0</v>
      </c>
      <c r="AD76">
        <v>1</v>
      </c>
      <c r="AE76">
        <v>1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1</v>
      </c>
      <c r="AL76">
        <v>0</v>
      </c>
      <c r="AM76">
        <v>0</v>
      </c>
      <c r="AN76">
        <v>1</v>
      </c>
      <c r="AO76">
        <v>-1</v>
      </c>
      <c r="AP76">
        <v>1</v>
      </c>
      <c r="AQ76">
        <v>1</v>
      </c>
      <c r="AR76">
        <v>1</v>
      </c>
      <c r="AS76">
        <v>1</v>
      </c>
      <c r="AT76">
        <v>0</v>
      </c>
      <c r="AU76">
        <v>1</v>
      </c>
      <c r="AV76">
        <v>0</v>
      </c>
      <c r="AW76">
        <v>1</v>
      </c>
      <c r="AX76">
        <v>1</v>
      </c>
      <c r="AY76">
        <v>0</v>
      </c>
      <c r="AZ76">
        <v>1</v>
      </c>
      <c r="BA76">
        <v>0</v>
      </c>
      <c r="BB76">
        <v>1</v>
      </c>
      <c r="BC76">
        <v>0</v>
      </c>
      <c r="BD76">
        <v>0</v>
      </c>
      <c r="BE76">
        <v>0</v>
      </c>
      <c r="BF76">
        <v>0</v>
      </c>
      <c r="BG76">
        <v>1</v>
      </c>
      <c r="BH76">
        <v>0</v>
      </c>
      <c r="BI76">
        <v>0</v>
      </c>
      <c r="BJ76">
        <v>0</v>
      </c>
      <c r="BK76">
        <v>1</v>
      </c>
      <c r="BL76">
        <v>0</v>
      </c>
      <c r="BM76">
        <v>1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1</v>
      </c>
      <c r="BT76">
        <v>1</v>
      </c>
      <c r="BU76">
        <v>1</v>
      </c>
      <c r="BV76">
        <v>1</v>
      </c>
      <c r="BW76">
        <v>0</v>
      </c>
      <c r="BX76">
        <v>1</v>
      </c>
      <c r="BY76">
        <v>-1</v>
      </c>
      <c r="BZ76">
        <v>0</v>
      </c>
      <c r="CA76">
        <v>0</v>
      </c>
      <c r="CB76">
        <v>1</v>
      </c>
      <c r="CC76">
        <v>1</v>
      </c>
      <c r="CD76">
        <v>0</v>
      </c>
      <c r="CE76">
        <v>1</v>
      </c>
      <c r="CF76">
        <v>1</v>
      </c>
      <c r="CG76">
        <v>0</v>
      </c>
      <c r="CH76">
        <v>1</v>
      </c>
      <c r="CI76">
        <v>0</v>
      </c>
      <c r="CJ76">
        <v>0</v>
      </c>
      <c r="CK76">
        <v>0</v>
      </c>
      <c r="CL76">
        <v>1</v>
      </c>
      <c r="CM76">
        <v>-1</v>
      </c>
      <c r="CN76">
        <v>1</v>
      </c>
      <c r="CO76">
        <v>-1</v>
      </c>
      <c r="CP76">
        <v>1</v>
      </c>
      <c r="CQ76">
        <v>0</v>
      </c>
      <c r="CR76">
        <v>1</v>
      </c>
      <c r="CS76">
        <v>0</v>
      </c>
      <c r="CT76">
        <v>0</v>
      </c>
      <c r="CU76">
        <v>1</v>
      </c>
      <c r="CV76">
        <v>0</v>
      </c>
    </row>
    <row r="77" spans="1:100">
      <c r="A77">
        <v>1</v>
      </c>
      <c r="B77">
        <v>0</v>
      </c>
      <c r="C77">
        <v>0</v>
      </c>
      <c r="D77">
        <v>1</v>
      </c>
      <c r="E77">
        <v>1</v>
      </c>
      <c r="F77">
        <v>0</v>
      </c>
      <c r="G77">
        <v>1</v>
      </c>
      <c r="H77">
        <v>0</v>
      </c>
      <c r="I77">
        <v>0</v>
      </c>
      <c r="J77">
        <v>1</v>
      </c>
      <c r="K77">
        <v>0</v>
      </c>
      <c r="L77">
        <v>1</v>
      </c>
      <c r="M77">
        <v>0</v>
      </c>
      <c r="N77">
        <v>1</v>
      </c>
      <c r="O77">
        <v>0</v>
      </c>
      <c r="P77">
        <v>0</v>
      </c>
      <c r="Q77">
        <v>1</v>
      </c>
      <c r="R77">
        <v>0</v>
      </c>
      <c r="S77">
        <v>1</v>
      </c>
      <c r="T77">
        <v>1</v>
      </c>
      <c r="U77">
        <v>1</v>
      </c>
      <c r="V77">
        <v>0</v>
      </c>
      <c r="W77">
        <v>-1</v>
      </c>
      <c r="X77">
        <v>-1</v>
      </c>
      <c r="Y77">
        <v>0</v>
      </c>
      <c r="Z77">
        <v>0</v>
      </c>
      <c r="AA77">
        <v>1</v>
      </c>
      <c r="AB77">
        <v>-1</v>
      </c>
      <c r="AC77">
        <v>1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1</v>
      </c>
      <c r="AJ77">
        <v>0</v>
      </c>
      <c r="AK77">
        <v>1</v>
      </c>
      <c r="AL77">
        <v>0</v>
      </c>
      <c r="AM77">
        <v>1</v>
      </c>
      <c r="AN77">
        <v>0</v>
      </c>
      <c r="AO77">
        <v>0</v>
      </c>
      <c r="AP77">
        <v>1</v>
      </c>
      <c r="AQ77">
        <v>0</v>
      </c>
      <c r="AR77">
        <v>-1</v>
      </c>
      <c r="AS77">
        <v>0</v>
      </c>
      <c r="AT77">
        <v>1</v>
      </c>
      <c r="AU77">
        <v>0</v>
      </c>
      <c r="AV77">
        <v>1</v>
      </c>
      <c r="AW77">
        <v>0</v>
      </c>
      <c r="AX77">
        <v>0</v>
      </c>
      <c r="AY77">
        <v>1</v>
      </c>
      <c r="AZ77">
        <v>0</v>
      </c>
      <c r="BA77">
        <v>0</v>
      </c>
      <c r="BB77">
        <v>-1</v>
      </c>
      <c r="BC77">
        <v>0</v>
      </c>
      <c r="BD77">
        <v>0</v>
      </c>
      <c r="BE77">
        <v>-1</v>
      </c>
      <c r="BF77">
        <v>0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-1</v>
      </c>
      <c r="BM77">
        <v>0</v>
      </c>
      <c r="BN77">
        <v>1</v>
      </c>
      <c r="BO77">
        <v>1</v>
      </c>
      <c r="BP77">
        <v>0</v>
      </c>
      <c r="BQ77">
        <v>1</v>
      </c>
      <c r="BR77">
        <v>1</v>
      </c>
      <c r="BS77">
        <v>0</v>
      </c>
      <c r="BT77">
        <v>0</v>
      </c>
      <c r="BU77">
        <v>0</v>
      </c>
      <c r="BV77">
        <v>1</v>
      </c>
      <c r="BW77">
        <v>0</v>
      </c>
      <c r="BX77">
        <v>0</v>
      </c>
      <c r="BY77">
        <v>0</v>
      </c>
      <c r="BZ77">
        <v>-1</v>
      </c>
      <c r="CA77">
        <v>0</v>
      </c>
      <c r="CB77">
        <v>1</v>
      </c>
      <c r="CC77">
        <v>0</v>
      </c>
      <c r="CD77">
        <v>1</v>
      </c>
      <c r="CE77">
        <v>0</v>
      </c>
      <c r="CF77">
        <v>1</v>
      </c>
      <c r="CG77">
        <v>0</v>
      </c>
      <c r="CH77">
        <v>0</v>
      </c>
      <c r="CI77">
        <v>0</v>
      </c>
      <c r="CJ77">
        <v>0</v>
      </c>
      <c r="CK77">
        <v>1</v>
      </c>
      <c r="CL77">
        <v>0</v>
      </c>
      <c r="CM77">
        <v>0</v>
      </c>
      <c r="CN77">
        <v>0</v>
      </c>
      <c r="CO77">
        <v>1</v>
      </c>
      <c r="CP77">
        <v>0</v>
      </c>
      <c r="CQ77">
        <v>1</v>
      </c>
      <c r="CR77">
        <v>1</v>
      </c>
      <c r="CS77">
        <v>1</v>
      </c>
      <c r="CT77">
        <v>1</v>
      </c>
      <c r="CU77">
        <v>0</v>
      </c>
      <c r="CV77">
        <v>0</v>
      </c>
    </row>
    <row r="78" spans="1:100">
      <c r="A78">
        <v>-1</v>
      </c>
      <c r="B78">
        <v>0</v>
      </c>
      <c r="C78">
        <v>1</v>
      </c>
      <c r="D78">
        <v>-1</v>
      </c>
      <c r="E78">
        <v>-1</v>
      </c>
      <c r="F78">
        <v>0</v>
      </c>
      <c r="G78">
        <v>1</v>
      </c>
      <c r="H78">
        <v>1</v>
      </c>
      <c r="I78">
        <v>1</v>
      </c>
      <c r="J78">
        <v>0</v>
      </c>
      <c r="K78">
        <v>0</v>
      </c>
      <c r="L78">
        <v>1</v>
      </c>
      <c r="M78">
        <v>1</v>
      </c>
      <c r="N78">
        <v>1</v>
      </c>
      <c r="O78">
        <v>0</v>
      </c>
      <c r="P78">
        <v>1</v>
      </c>
      <c r="Q78">
        <v>0</v>
      </c>
      <c r="R78">
        <v>0</v>
      </c>
      <c r="S78">
        <v>1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-1</v>
      </c>
      <c r="AA78">
        <v>0</v>
      </c>
      <c r="AB78">
        <v>1</v>
      </c>
      <c r="AC78">
        <v>0</v>
      </c>
      <c r="AD78">
        <v>0</v>
      </c>
      <c r="AE78">
        <v>-1</v>
      </c>
      <c r="AF78">
        <v>1</v>
      </c>
      <c r="AG78">
        <v>0</v>
      </c>
      <c r="AH78">
        <v>0</v>
      </c>
      <c r="AI78">
        <v>1</v>
      </c>
      <c r="AJ78">
        <v>0</v>
      </c>
      <c r="AK78">
        <v>0</v>
      </c>
      <c r="AL78">
        <v>0</v>
      </c>
      <c r="AM78">
        <v>1</v>
      </c>
      <c r="AN78">
        <v>0</v>
      </c>
      <c r="AO78">
        <v>1</v>
      </c>
      <c r="AP78">
        <v>-1</v>
      </c>
      <c r="AQ78">
        <v>0</v>
      </c>
      <c r="AR78">
        <v>1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1</v>
      </c>
      <c r="BA78">
        <v>0</v>
      </c>
      <c r="BB78">
        <v>1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1</v>
      </c>
      <c r="BI78">
        <v>1</v>
      </c>
      <c r="BJ78">
        <v>0</v>
      </c>
      <c r="BK78">
        <v>0</v>
      </c>
      <c r="BL78">
        <v>-1</v>
      </c>
      <c r="BM78">
        <v>-1</v>
      </c>
      <c r="BN78">
        <v>0</v>
      </c>
      <c r="BO78">
        <v>-1</v>
      </c>
      <c r="BP78">
        <v>1</v>
      </c>
      <c r="BQ78">
        <v>0</v>
      </c>
      <c r="BR78">
        <v>0</v>
      </c>
      <c r="BS78">
        <v>0</v>
      </c>
      <c r="BT78">
        <v>0</v>
      </c>
      <c r="BU78">
        <v>-1</v>
      </c>
      <c r="BV78">
        <v>1</v>
      </c>
      <c r="BW78">
        <v>0</v>
      </c>
      <c r="BX78">
        <v>1</v>
      </c>
      <c r="BY78">
        <v>1</v>
      </c>
      <c r="BZ78">
        <v>0</v>
      </c>
      <c r="CA78">
        <v>0</v>
      </c>
      <c r="CB78">
        <v>0</v>
      </c>
      <c r="CC78">
        <v>1</v>
      </c>
      <c r="CD78">
        <v>0</v>
      </c>
      <c r="CE78">
        <v>0</v>
      </c>
      <c r="CF78">
        <v>0</v>
      </c>
      <c r="CG78">
        <v>0</v>
      </c>
      <c r="CH78">
        <v>1</v>
      </c>
      <c r="CI78">
        <v>1</v>
      </c>
      <c r="CJ78">
        <v>0</v>
      </c>
      <c r="CK78">
        <v>0</v>
      </c>
      <c r="CL78">
        <v>1</v>
      </c>
      <c r="CM78">
        <v>0</v>
      </c>
      <c r="CN78">
        <v>0</v>
      </c>
      <c r="CO78">
        <v>1</v>
      </c>
      <c r="CP78">
        <v>0</v>
      </c>
      <c r="CQ78">
        <v>0</v>
      </c>
      <c r="CR78">
        <v>1</v>
      </c>
      <c r="CS78">
        <v>1</v>
      </c>
      <c r="CT78">
        <v>1</v>
      </c>
      <c r="CU78">
        <v>0</v>
      </c>
      <c r="CV78">
        <v>1</v>
      </c>
    </row>
    <row r="79" spans="1:100">
      <c r="A79">
        <v>0</v>
      </c>
      <c r="B79">
        <v>1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-1</v>
      </c>
      <c r="K79">
        <v>1</v>
      </c>
      <c r="L79">
        <v>1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1</v>
      </c>
      <c r="T79">
        <v>1</v>
      </c>
      <c r="U79">
        <v>0</v>
      </c>
      <c r="V79">
        <v>0</v>
      </c>
      <c r="W79">
        <v>1</v>
      </c>
      <c r="X79">
        <v>1</v>
      </c>
      <c r="Y79">
        <v>1</v>
      </c>
      <c r="Z79">
        <v>1</v>
      </c>
      <c r="AA79">
        <v>0</v>
      </c>
      <c r="AB79">
        <v>1</v>
      </c>
      <c r="AC79">
        <v>0</v>
      </c>
      <c r="AD79">
        <v>1</v>
      </c>
      <c r="AE79">
        <v>1</v>
      </c>
      <c r="AF79">
        <v>0</v>
      </c>
      <c r="AG79">
        <v>0</v>
      </c>
      <c r="AH79">
        <v>1</v>
      </c>
      <c r="AI79">
        <v>1</v>
      </c>
      <c r="AJ79">
        <v>0</v>
      </c>
      <c r="AK79">
        <v>0</v>
      </c>
      <c r="AL79">
        <v>0</v>
      </c>
      <c r="AM79">
        <v>1</v>
      </c>
      <c r="AN79">
        <v>0</v>
      </c>
      <c r="AO79">
        <v>0</v>
      </c>
      <c r="AP79">
        <v>0</v>
      </c>
      <c r="AQ79">
        <v>0</v>
      </c>
      <c r="AR79">
        <v>1</v>
      </c>
      <c r="AS79">
        <v>0</v>
      </c>
      <c r="AT79">
        <v>0</v>
      </c>
      <c r="AU79">
        <v>1</v>
      </c>
      <c r="AV79">
        <v>1</v>
      </c>
      <c r="AW79">
        <v>1</v>
      </c>
      <c r="AX79">
        <v>1</v>
      </c>
      <c r="AY79">
        <v>0</v>
      </c>
      <c r="AZ79">
        <v>0</v>
      </c>
      <c r="BA79">
        <v>0</v>
      </c>
      <c r="BB79">
        <v>1</v>
      </c>
      <c r="BC79">
        <v>1</v>
      </c>
      <c r="BD79">
        <v>-1</v>
      </c>
      <c r="BE79">
        <v>1</v>
      </c>
      <c r="BF79">
        <v>1</v>
      </c>
      <c r="BG79">
        <v>1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1</v>
      </c>
      <c r="BN79">
        <v>1</v>
      </c>
      <c r="BO79">
        <v>0</v>
      </c>
      <c r="BP79">
        <v>1</v>
      </c>
      <c r="BQ79">
        <v>0</v>
      </c>
      <c r="BR79">
        <v>1</v>
      </c>
      <c r="BS79">
        <v>1</v>
      </c>
      <c r="BT79">
        <v>-1</v>
      </c>
      <c r="BU79">
        <v>0</v>
      </c>
      <c r="BV79">
        <v>0</v>
      </c>
      <c r="BW79">
        <v>0</v>
      </c>
      <c r="BX79">
        <v>1</v>
      </c>
      <c r="BY79">
        <v>0</v>
      </c>
      <c r="BZ79">
        <v>0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0</v>
      </c>
      <c r="CG79">
        <v>0</v>
      </c>
      <c r="CH79">
        <v>-1</v>
      </c>
      <c r="CI79">
        <v>1</v>
      </c>
      <c r="CJ79">
        <v>0</v>
      </c>
      <c r="CK79">
        <v>1</v>
      </c>
      <c r="CL79">
        <v>-1</v>
      </c>
      <c r="CM79">
        <v>0</v>
      </c>
      <c r="CN79">
        <v>0</v>
      </c>
      <c r="CO79">
        <v>0</v>
      </c>
      <c r="CP79">
        <v>0</v>
      </c>
      <c r="CQ79">
        <v>-1</v>
      </c>
      <c r="CR79">
        <v>1</v>
      </c>
      <c r="CS79">
        <v>-1</v>
      </c>
      <c r="CT79">
        <v>1</v>
      </c>
      <c r="CU79">
        <v>0</v>
      </c>
      <c r="CV79">
        <v>0</v>
      </c>
    </row>
    <row r="80" spans="1:100">
      <c r="A80">
        <v>0</v>
      </c>
      <c r="B80">
        <v>1</v>
      </c>
      <c r="C80">
        <v>1</v>
      </c>
      <c r="D80">
        <v>0</v>
      </c>
      <c r="E80">
        <v>0</v>
      </c>
      <c r="F80">
        <v>1</v>
      </c>
      <c r="G80">
        <v>1</v>
      </c>
      <c r="H80">
        <v>0</v>
      </c>
      <c r="I80">
        <v>0</v>
      </c>
      <c r="J80">
        <v>0</v>
      </c>
      <c r="K80">
        <v>1</v>
      </c>
      <c r="L80">
        <v>0</v>
      </c>
      <c r="M80">
        <v>1</v>
      </c>
      <c r="N80">
        <v>0</v>
      </c>
      <c r="O80">
        <v>0</v>
      </c>
      <c r="P80">
        <v>-1</v>
      </c>
      <c r="Q80">
        <v>0</v>
      </c>
      <c r="R80">
        <v>0</v>
      </c>
      <c r="S80">
        <v>0</v>
      </c>
      <c r="T80">
        <v>-1</v>
      </c>
      <c r="U80">
        <v>0</v>
      </c>
      <c r="V80">
        <v>0</v>
      </c>
      <c r="W80">
        <v>1</v>
      </c>
      <c r="X80">
        <v>0</v>
      </c>
      <c r="Y80">
        <v>1</v>
      </c>
      <c r="Z80">
        <v>1</v>
      </c>
      <c r="AA80">
        <v>-1</v>
      </c>
      <c r="AB80">
        <v>0</v>
      </c>
      <c r="AC80">
        <v>1</v>
      </c>
      <c r="AD80">
        <v>-1</v>
      </c>
      <c r="AE80">
        <v>1</v>
      </c>
      <c r="AF80">
        <v>-1</v>
      </c>
      <c r="AG80">
        <v>1</v>
      </c>
      <c r="AH80">
        <v>0</v>
      </c>
      <c r="AI80">
        <v>1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-1</v>
      </c>
      <c r="AR80">
        <v>0</v>
      </c>
      <c r="AS80">
        <v>0</v>
      </c>
      <c r="AT80">
        <v>1</v>
      </c>
      <c r="AU80">
        <v>1</v>
      </c>
      <c r="AV80">
        <v>1</v>
      </c>
      <c r="AW80">
        <v>1</v>
      </c>
      <c r="AX80">
        <v>0</v>
      </c>
      <c r="AY80">
        <v>1</v>
      </c>
      <c r="AZ80">
        <v>1</v>
      </c>
      <c r="BA80">
        <v>0</v>
      </c>
      <c r="BB80">
        <v>1</v>
      </c>
      <c r="BC80">
        <v>-1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1</v>
      </c>
      <c r="BJ80">
        <v>-1</v>
      </c>
      <c r="BK80">
        <v>0</v>
      </c>
      <c r="BL80">
        <v>0</v>
      </c>
      <c r="BM80">
        <v>0</v>
      </c>
      <c r="BN80">
        <v>1</v>
      </c>
      <c r="BO80">
        <v>1</v>
      </c>
      <c r="BP80">
        <v>0</v>
      </c>
      <c r="BQ80">
        <v>0</v>
      </c>
      <c r="BR80">
        <v>1</v>
      </c>
      <c r="BS80">
        <v>0</v>
      </c>
      <c r="BT80">
        <v>0</v>
      </c>
      <c r="BU80">
        <v>0</v>
      </c>
      <c r="BV80">
        <v>-1</v>
      </c>
      <c r="BW80">
        <v>0</v>
      </c>
      <c r="BX80">
        <v>1</v>
      </c>
      <c r="BY80">
        <v>1</v>
      </c>
      <c r="BZ80">
        <v>0</v>
      </c>
      <c r="CA80">
        <v>1</v>
      </c>
      <c r="CB80">
        <v>1</v>
      </c>
      <c r="CC80">
        <v>0</v>
      </c>
      <c r="CD80">
        <v>0</v>
      </c>
      <c r="CE80">
        <v>1</v>
      </c>
      <c r="CF80">
        <v>1</v>
      </c>
      <c r="CG80">
        <v>0</v>
      </c>
      <c r="CH80">
        <v>1</v>
      </c>
      <c r="CI80">
        <v>0</v>
      </c>
      <c r="CJ80">
        <v>1</v>
      </c>
      <c r="CK80">
        <v>1</v>
      </c>
      <c r="CL80">
        <v>1</v>
      </c>
      <c r="CM80">
        <v>0</v>
      </c>
      <c r="CN80">
        <v>0</v>
      </c>
      <c r="CO80">
        <v>1</v>
      </c>
      <c r="CP80">
        <v>1</v>
      </c>
      <c r="CQ80">
        <v>-1</v>
      </c>
      <c r="CR80">
        <v>1</v>
      </c>
      <c r="CS80">
        <v>1</v>
      </c>
      <c r="CT80">
        <v>1</v>
      </c>
      <c r="CU80">
        <v>0</v>
      </c>
      <c r="CV80">
        <v>1</v>
      </c>
    </row>
    <row r="81" spans="1:100">
      <c r="A81">
        <v>0</v>
      </c>
      <c r="B81">
        <v>1</v>
      </c>
      <c r="C81">
        <v>1</v>
      </c>
      <c r="D81">
        <v>0</v>
      </c>
      <c r="E81">
        <v>0</v>
      </c>
      <c r="F81">
        <v>0</v>
      </c>
      <c r="G81">
        <v>1</v>
      </c>
      <c r="H81">
        <v>1</v>
      </c>
      <c r="I81">
        <v>1</v>
      </c>
      <c r="J81">
        <v>1</v>
      </c>
      <c r="K81">
        <v>-1</v>
      </c>
      <c r="L81">
        <v>0</v>
      </c>
      <c r="M81">
        <v>1</v>
      </c>
      <c r="N81">
        <v>-1</v>
      </c>
      <c r="O81">
        <v>0</v>
      </c>
      <c r="P81">
        <v>1</v>
      </c>
      <c r="Q81">
        <v>1</v>
      </c>
      <c r="R81">
        <v>0</v>
      </c>
      <c r="S81">
        <v>1</v>
      </c>
      <c r="T81">
        <v>0</v>
      </c>
      <c r="U81">
        <v>1</v>
      </c>
      <c r="V81">
        <v>1</v>
      </c>
      <c r="W81">
        <v>0</v>
      </c>
      <c r="X81">
        <v>0</v>
      </c>
      <c r="Y81">
        <v>0</v>
      </c>
      <c r="Z81">
        <v>1</v>
      </c>
      <c r="AA81">
        <v>0</v>
      </c>
      <c r="AB81">
        <v>1</v>
      </c>
      <c r="AC81">
        <v>1</v>
      </c>
      <c r="AD81">
        <v>1</v>
      </c>
      <c r="AE81">
        <v>1</v>
      </c>
      <c r="AF81">
        <v>-1</v>
      </c>
      <c r="AG81">
        <v>0</v>
      </c>
      <c r="AH81">
        <v>0</v>
      </c>
      <c r="AI81">
        <v>1</v>
      </c>
      <c r="AJ81">
        <v>0</v>
      </c>
      <c r="AK81">
        <v>1</v>
      </c>
      <c r="AL81">
        <v>0</v>
      </c>
      <c r="AM81">
        <v>-1</v>
      </c>
      <c r="AN81">
        <v>0</v>
      </c>
      <c r="AO81">
        <v>0</v>
      </c>
      <c r="AP81">
        <v>0</v>
      </c>
      <c r="AQ81">
        <v>-1</v>
      </c>
      <c r="AR81">
        <v>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1</v>
      </c>
      <c r="AZ81">
        <v>0</v>
      </c>
      <c r="BA81">
        <v>0</v>
      </c>
      <c r="BB81">
        <v>0</v>
      </c>
      <c r="BC81">
        <v>1</v>
      </c>
      <c r="BD81">
        <v>0</v>
      </c>
      <c r="BE81">
        <v>1</v>
      </c>
      <c r="BF81">
        <v>1</v>
      </c>
      <c r="BG81">
        <v>-1</v>
      </c>
      <c r="BH81">
        <v>1</v>
      </c>
      <c r="BI81">
        <v>1</v>
      </c>
      <c r="BJ81">
        <v>0</v>
      </c>
      <c r="BK81">
        <v>1</v>
      </c>
      <c r="BL81">
        <v>0</v>
      </c>
      <c r="BM81">
        <v>1</v>
      </c>
      <c r="BN81">
        <v>0</v>
      </c>
      <c r="BO81">
        <v>1</v>
      </c>
      <c r="BP81">
        <v>0</v>
      </c>
      <c r="BQ81">
        <v>1</v>
      </c>
      <c r="BR81">
        <v>0</v>
      </c>
      <c r="BS81">
        <v>1</v>
      </c>
      <c r="BT81">
        <v>0</v>
      </c>
      <c r="BU81">
        <v>0</v>
      </c>
      <c r="BV81">
        <v>1</v>
      </c>
      <c r="BW81">
        <v>0</v>
      </c>
      <c r="BX81">
        <v>1</v>
      </c>
      <c r="BY81">
        <v>1</v>
      </c>
      <c r="BZ81">
        <v>0</v>
      </c>
      <c r="CA81">
        <v>1</v>
      </c>
      <c r="CB81">
        <v>-1</v>
      </c>
      <c r="CC81">
        <v>1</v>
      </c>
      <c r="CD81">
        <v>1</v>
      </c>
      <c r="CE81">
        <v>0</v>
      </c>
      <c r="CF81">
        <v>0</v>
      </c>
      <c r="CG81">
        <v>0</v>
      </c>
      <c r="CH81">
        <v>1</v>
      </c>
      <c r="CI81">
        <v>0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0</v>
      </c>
      <c r="CP81">
        <v>-1</v>
      </c>
      <c r="CQ81">
        <v>1</v>
      </c>
      <c r="CR81">
        <v>0</v>
      </c>
      <c r="CS81">
        <v>1</v>
      </c>
      <c r="CT81">
        <v>1</v>
      </c>
      <c r="CU81">
        <v>1</v>
      </c>
      <c r="CV81">
        <v>0</v>
      </c>
    </row>
    <row r="82" spans="1:100">
      <c r="A82">
        <v>1</v>
      </c>
      <c r="B82">
        <v>-1</v>
      </c>
      <c r="C82">
        <v>-1</v>
      </c>
      <c r="D82">
        <v>1</v>
      </c>
      <c r="E82">
        <v>0</v>
      </c>
      <c r="F82">
        <v>0</v>
      </c>
      <c r="G82">
        <v>-1</v>
      </c>
      <c r="H82">
        <v>-1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1</v>
      </c>
      <c r="R82">
        <v>1</v>
      </c>
      <c r="S82">
        <v>1</v>
      </c>
      <c r="T82">
        <v>0</v>
      </c>
      <c r="U82">
        <v>0</v>
      </c>
      <c r="V82">
        <v>-1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  <c r="AG82">
        <v>0</v>
      </c>
      <c r="AH82">
        <v>0</v>
      </c>
      <c r="AI82">
        <v>1</v>
      </c>
      <c r="AJ82">
        <v>0</v>
      </c>
      <c r="AK82">
        <v>1</v>
      </c>
      <c r="AL82">
        <v>0</v>
      </c>
      <c r="AM82">
        <v>0</v>
      </c>
      <c r="AN82">
        <v>0</v>
      </c>
      <c r="AO82">
        <v>1</v>
      </c>
      <c r="AP82">
        <v>0</v>
      </c>
      <c r="AQ82">
        <v>0</v>
      </c>
      <c r="AR82">
        <v>0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0</v>
      </c>
      <c r="AY82">
        <v>0</v>
      </c>
      <c r="AZ82">
        <v>1</v>
      </c>
      <c r="BA82">
        <v>-1</v>
      </c>
      <c r="BB82">
        <v>0</v>
      </c>
      <c r="BC82">
        <v>0</v>
      </c>
      <c r="BD82">
        <v>-1</v>
      </c>
      <c r="BE82">
        <v>0</v>
      </c>
      <c r="BF82">
        <v>0</v>
      </c>
      <c r="BG82">
        <v>0</v>
      </c>
      <c r="BH82">
        <v>1</v>
      </c>
      <c r="BI82">
        <v>1</v>
      </c>
      <c r="BJ82">
        <v>0</v>
      </c>
      <c r="BK82">
        <v>1</v>
      </c>
      <c r="BL82">
        <v>0</v>
      </c>
      <c r="BM82">
        <v>1</v>
      </c>
      <c r="BN82">
        <v>0</v>
      </c>
      <c r="BO82">
        <v>-1</v>
      </c>
      <c r="BP82">
        <v>0</v>
      </c>
      <c r="BQ82">
        <v>1</v>
      </c>
      <c r="BR82">
        <v>1</v>
      </c>
      <c r="BS82">
        <v>0</v>
      </c>
      <c r="BT82">
        <v>0</v>
      </c>
      <c r="BU82">
        <v>0</v>
      </c>
      <c r="BV82">
        <v>1</v>
      </c>
      <c r="BW82">
        <v>1</v>
      </c>
      <c r="BX82">
        <v>1</v>
      </c>
      <c r="BY82">
        <v>1</v>
      </c>
      <c r="BZ82">
        <v>-1</v>
      </c>
      <c r="CA82">
        <v>0</v>
      </c>
      <c r="CB82">
        <v>0</v>
      </c>
      <c r="CC82">
        <v>1</v>
      </c>
      <c r="CD82">
        <v>0</v>
      </c>
      <c r="CE82">
        <v>0</v>
      </c>
      <c r="CF82">
        <v>0</v>
      </c>
      <c r="CG82">
        <v>0</v>
      </c>
      <c r="CH82">
        <v>1</v>
      </c>
      <c r="CI82">
        <v>0</v>
      </c>
      <c r="CJ82">
        <v>0</v>
      </c>
      <c r="CK82">
        <v>1</v>
      </c>
      <c r="CL82">
        <v>-1</v>
      </c>
      <c r="CM82">
        <v>0</v>
      </c>
      <c r="CN82">
        <v>1</v>
      </c>
      <c r="CO82">
        <v>0</v>
      </c>
      <c r="CP82">
        <v>0</v>
      </c>
      <c r="CQ82">
        <v>0</v>
      </c>
      <c r="CR82">
        <v>1</v>
      </c>
      <c r="CS82">
        <v>-1</v>
      </c>
      <c r="CT82">
        <v>0</v>
      </c>
      <c r="CU82">
        <v>0</v>
      </c>
      <c r="CV82">
        <v>1</v>
      </c>
    </row>
    <row r="83" spans="1:100">
      <c r="A83">
        <v>1</v>
      </c>
      <c r="B83">
        <v>0</v>
      </c>
      <c r="C83">
        <v>1</v>
      </c>
      <c r="D83">
        <v>0</v>
      </c>
      <c r="E83">
        <v>-1</v>
      </c>
      <c r="F83">
        <v>1</v>
      </c>
      <c r="G83">
        <v>0</v>
      </c>
      <c r="H83">
        <v>1</v>
      </c>
      <c r="I83">
        <v>0</v>
      </c>
      <c r="J83">
        <v>1</v>
      </c>
      <c r="K83">
        <v>-1</v>
      </c>
      <c r="L83">
        <v>1</v>
      </c>
      <c r="M83">
        <v>1</v>
      </c>
      <c r="N83">
        <v>0</v>
      </c>
      <c r="O83">
        <v>1</v>
      </c>
      <c r="P83">
        <v>0</v>
      </c>
      <c r="Q83">
        <v>0</v>
      </c>
      <c r="R83">
        <v>0</v>
      </c>
      <c r="S83">
        <v>1</v>
      </c>
      <c r="T83">
        <v>1</v>
      </c>
      <c r="U83">
        <v>0</v>
      </c>
      <c r="V83">
        <v>0</v>
      </c>
      <c r="W83">
        <v>-1</v>
      </c>
      <c r="X83">
        <v>-1</v>
      </c>
      <c r="Y83">
        <v>-1</v>
      </c>
      <c r="Z83">
        <v>1</v>
      </c>
      <c r="AA83">
        <v>0</v>
      </c>
      <c r="AB83">
        <v>-1</v>
      </c>
      <c r="AC83">
        <v>-1</v>
      </c>
      <c r="AD83">
        <v>0</v>
      </c>
      <c r="AE83">
        <v>1</v>
      </c>
      <c r="AF83">
        <v>0</v>
      </c>
      <c r="AG83">
        <v>-1</v>
      </c>
      <c r="AH83">
        <v>1</v>
      </c>
      <c r="AI83">
        <v>0</v>
      </c>
      <c r="AJ83">
        <v>0</v>
      </c>
      <c r="AK83">
        <v>0</v>
      </c>
      <c r="AL83">
        <v>1</v>
      </c>
      <c r="AM83">
        <v>1</v>
      </c>
      <c r="AN83">
        <v>-1</v>
      </c>
      <c r="AO83">
        <v>0</v>
      </c>
      <c r="AP83">
        <v>0</v>
      </c>
      <c r="AQ83">
        <v>1</v>
      </c>
      <c r="AR83">
        <v>0</v>
      </c>
      <c r="AS83">
        <v>0</v>
      </c>
      <c r="AT83">
        <v>0</v>
      </c>
      <c r="AU83">
        <v>1</v>
      </c>
      <c r="AV83">
        <v>0</v>
      </c>
      <c r="AW83">
        <v>0</v>
      </c>
      <c r="AX83">
        <v>0</v>
      </c>
      <c r="AY83">
        <v>0</v>
      </c>
      <c r="AZ83">
        <v>1</v>
      </c>
      <c r="BA83">
        <v>0</v>
      </c>
      <c r="BB83">
        <v>0</v>
      </c>
      <c r="BC83">
        <v>1</v>
      </c>
      <c r="BD83">
        <v>0</v>
      </c>
      <c r="BE83">
        <v>1</v>
      </c>
      <c r="BF83">
        <v>0</v>
      </c>
      <c r="BG83">
        <v>1</v>
      </c>
      <c r="BH83">
        <v>1</v>
      </c>
      <c r="BI83">
        <v>-1</v>
      </c>
      <c r="BJ83">
        <v>1</v>
      </c>
      <c r="BK83">
        <v>0</v>
      </c>
      <c r="BL83">
        <v>0</v>
      </c>
      <c r="BM83">
        <v>1</v>
      </c>
      <c r="BN83">
        <v>1</v>
      </c>
      <c r="BO83">
        <v>-1</v>
      </c>
      <c r="BP83">
        <v>0</v>
      </c>
      <c r="BQ83">
        <v>0</v>
      </c>
      <c r="BR83">
        <v>1</v>
      </c>
      <c r="BS83">
        <v>1</v>
      </c>
      <c r="BT83">
        <v>0</v>
      </c>
      <c r="BU83">
        <v>1</v>
      </c>
      <c r="BV83">
        <v>0</v>
      </c>
      <c r="BW83">
        <v>1</v>
      </c>
      <c r="BX83">
        <v>1</v>
      </c>
      <c r="BY83">
        <v>1</v>
      </c>
      <c r="BZ83">
        <v>0</v>
      </c>
      <c r="CA83">
        <v>0</v>
      </c>
      <c r="CB83">
        <v>1</v>
      </c>
      <c r="CC83">
        <v>1</v>
      </c>
      <c r="CD83">
        <v>0</v>
      </c>
      <c r="CE83">
        <v>0</v>
      </c>
      <c r="CF83">
        <v>1</v>
      </c>
      <c r="CG83">
        <v>1</v>
      </c>
      <c r="CH83">
        <v>1</v>
      </c>
      <c r="CI83">
        <v>0</v>
      </c>
      <c r="CJ83">
        <v>-1</v>
      </c>
      <c r="CK83">
        <v>0</v>
      </c>
      <c r="CL83">
        <v>0</v>
      </c>
      <c r="CM83">
        <v>1</v>
      </c>
      <c r="CN83">
        <v>1</v>
      </c>
      <c r="CO83">
        <v>1</v>
      </c>
      <c r="CP83">
        <v>0</v>
      </c>
      <c r="CQ83">
        <v>0</v>
      </c>
      <c r="CR83">
        <v>0</v>
      </c>
      <c r="CS83">
        <v>1</v>
      </c>
      <c r="CT83">
        <v>0</v>
      </c>
      <c r="CU83">
        <v>0</v>
      </c>
      <c r="CV83">
        <v>0</v>
      </c>
    </row>
    <row r="84" spans="1:100">
      <c r="A84">
        <v>0</v>
      </c>
      <c r="B84">
        <v>1</v>
      </c>
      <c r="C84">
        <v>-1</v>
      </c>
      <c r="D84">
        <v>0</v>
      </c>
      <c r="E84">
        <v>1</v>
      </c>
      <c r="F84">
        <v>1</v>
      </c>
      <c r="G84">
        <v>0</v>
      </c>
      <c r="H84">
        <v>1</v>
      </c>
      <c r="I84">
        <v>-1</v>
      </c>
      <c r="J84">
        <v>-1</v>
      </c>
      <c r="K84">
        <v>0</v>
      </c>
      <c r="L84">
        <v>1</v>
      </c>
      <c r="M84">
        <v>1</v>
      </c>
      <c r="N84">
        <v>1</v>
      </c>
      <c r="O84">
        <v>1</v>
      </c>
      <c r="P84">
        <v>0</v>
      </c>
      <c r="Q84">
        <v>0</v>
      </c>
      <c r="R84">
        <v>-1</v>
      </c>
      <c r="S84">
        <v>0</v>
      </c>
      <c r="T84">
        <v>0</v>
      </c>
      <c r="U84">
        <v>0</v>
      </c>
      <c r="V84">
        <v>1</v>
      </c>
      <c r="W84">
        <v>0</v>
      </c>
      <c r="X84">
        <v>1</v>
      </c>
      <c r="Y84">
        <v>0</v>
      </c>
      <c r="Z84">
        <v>-1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-1</v>
      </c>
      <c r="AG84">
        <v>1</v>
      </c>
      <c r="AH84">
        <v>0</v>
      </c>
      <c r="AI84">
        <v>0</v>
      </c>
      <c r="AJ84">
        <v>1</v>
      </c>
      <c r="AK84">
        <v>1</v>
      </c>
      <c r="AL84">
        <v>1</v>
      </c>
      <c r="AM84">
        <v>-1</v>
      </c>
      <c r="AN84">
        <v>0</v>
      </c>
      <c r="AO84">
        <v>1</v>
      </c>
      <c r="AP84">
        <v>-1</v>
      </c>
      <c r="AQ84">
        <v>1</v>
      </c>
      <c r="AR84">
        <v>0</v>
      </c>
      <c r="AS84">
        <v>1</v>
      </c>
      <c r="AT84">
        <v>1</v>
      </c>
      <c r="AU84">
        <v>0</v>
      </c>
      <c r="AV84">
        <v>1</v>
      </c>
      <c r="AW84">
        <v>1</v>
      </c>
      <c r="AX84">
        <v>-1</v>
      </c>
      <c r="AY84">
        <v>1</v>
      </c>
      <c r="AZ84">
        <v>0</v>
      </c>
      <c r="BA84">
        <v>1</v>
      </c>
      <c r="BB84">
        <v>1</v>
      </c>
      <c r="BC84">
        <v>0</v>
      </c>
      <c r="BD84">
        <v>0</v>
      </c>
      <c r="BE84">
        <v>1</v>
      </c>
      <c r="BF84">
        <v>-1</v>
      </c>
      <c r="BG84">
        <v>1</v>
      </c>
      <c r="BH84">
        <v>0</v>
      </c>
      <c r="BI84">
        <v>1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1</v>
      </c>
      <c r="BQ84">
        <v>1</v>
      </c>
      <c r="BR84">
        <v>1</v>
      </c>
      <c r="BS84">
        <v>-1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1</v>
      </c>
      <c r="BZ84">
        <v>1</v>
      </c>
      <c r="CA84">
        <v>-1</v>
      </c>
      <c r="CB84">
        <v>0</v>
      </c>
      <c r="CC84">
        <v>1</v>
      </c>
      <c r="CD84">
        <v>0</v>
      </c>
      <c r="CE84">
        <v>0</v>
      </c>
      <c r="CF84">
        <v>0</v>
      </c>
      <c r="CG84">
        <v>0</v>
      </c>
      <c r="CH84">
        <v>1</v>
      </c>
      <c r="CI84">
        <v>1</v>
      </c>
      <c r="CJ84">
        <v>0</v>
      </c>
      <c r="CK84">
        <v>1</v>
      </c>
      <c r="CL84">
        <v>0</v>
      </c>
      <c r="CM84">
        <v>-1</v>
      </c>
      <c r="CN84">
        <v>1</v>
      </c>
      <c r="CO84">
        <v>-1</v>
      </c>
      <c r="CP84">
        <v>1</v>
      </c>
      <c r="CQ84">
        <v>0</v>
      </c>
      <c r="CR84">
        <v>1</v>
      </c>
      <c r="CS84">
        <v>1</v>
      </c>
      <c r="CT84">
        <v>1</v>
      </c>
      <c r="CU84">
        <v>0</v>
      </c>
      <c r="CV84">
        <v>0</v>
      </c>
    </row>
    <row r="85" spans="1:100">
      <c r="A85">
        <v>-1</v>
      </c>
      <c r="B85">
        <v>-1</v>
      </c>
      <c r="C85">
        <v>1</v>
      </c>
      <c r="D85">
        <v>0</v>
      </c>
      <c r="E85">
        <v>0</v>
      </c>
      <c r="F85">
        <v>0</v>
      </c>
      <c r="G85">
        <v>0</v>
      </c>
      <c r="H85">
        <v>-1</v>
      </c>
      <c r="I85">
        <v>1</v>
      </c>
      <c r="J85">
        <v>-1</v>
      </c>
      <c r="K85">
        <v>0</v>
      </c>
      <c r="L85">
        <v>0</v>
      </c>
      <c r="M85">
        <v>1</v>
      </c>
      <c r="N85">
        <v>1</v>
      </c>
      <c r="O85">
        <v>0</v>
      </c>
      <c r="P85">
        <v>1</v>
      </c>
      <c r="Q85">
        <v>1</v>
      </c>
      <c r="R85">
        <v>1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-1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1</v>
      </c>
      <c r="AL85">
        <v>-1</v>
      </c>
      <c r="AM85">
        <v>0</v>
      </c>
      <c r="AN85">
        <v>1</v>
      </c>
      <c r="AO85">
        <v>-1</v>
      </c>
      <c r="AP85">
        <v>0</v>
      </c>
      <c r="AQ85">
        <v>0</v>
      </c>
      <c r="AR85">
        <v>0</v>
      </c>
      <c r="AS85">
        <v>1</v>
      </c>
      <c r="AT85">
        <v>1</v>
      </c>
      <c r="AU85">
        <v>1</v>
      </c>
      <c r="AV85">
        <v>0</v>
      </c>
      <c r="AW85">
        <v>0</v>
      </c>
      <c r="AX85">
        <v>0</v>
      </c>
      <c r="AY85">
        <v>1</v>
      </c>
      <c r="AZ85">
        <v>1</v>
      </c>
      <c r="BA85">
        <v>0</v>
      </c>
      <c r="BB85">
        <v>1</v>
      </c>
      <c r="BC85">
        <v>1</v>
      </c>
      <c r="BD85">
        <v>0</v>
      </c>
      <c r="BE85">
        <v>1</v>
      </c>
      <c r="BF85">
        <v>1</v>
      </c>
      <c r="BG85">
        <v>1</v>
      </c>
      <c r="BH85">
        <v>-1</v>
      </c>
      <c r="BI85">
        <v>0</v>
      </c>
      <c r="BJ85">
        <v>1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1</v>
      </c>
      <c r="BR85">
        <v>1</v>
      </c>
      <c r="BS85">
        <v>0</v>
      </c>
      <c r="BT85">
        <v>0</v>
      </c>
      <c r="BU85">
        <v>0</v>
      </c>
      <c r="BV85">
        <v>1</v>
      </c>
      <c r="BW85">
        <v>1</v>
      </c>
      <c r="BX85">
        <v>1</v>
      </c>
      <c r="BY85">
        <v>-1</v>
      </c>
      <c r="BZ85">
        <v>0</v>
      </c>
      <c r="CA85">
        <v>0</v>
      </c>
      <c r="CB85">
        <v>0</v>
      </c>
      <c r="CC85">
        <v>1</v>
      </c>
      <c r="CD85">
        <v>-1</v>
      </c>
      <c r="CE85">
        <v>1</v>
      </c>
      <c r="CF85">
        <v>1</v>
      </c>
      <c r="CG85">
        <v>1</v>
      </c>
      <c r="CH85">
        <v>-1</v>
      </c>
      <c r="CI85">
        <v>1</v>
      </c>
      <c r="CJ85">
        <v>1</v>
      </c>
      <c r="CK85">
        <v>0</v>
      </c>
      <c r="CL85">
        <v>0</v>
      </c>
      <c r="CM85">
        <v>0</v>
      </c>
      <c r="CN85">
        <v>0</v>
      </c>
      <c r="CO85">
        <v>-1</v>
      </c>
      <c r="CP85">
        <v>0</v>
      </c>
      <c r="CQ85">
        <v>0</v>
      </c>
      <c r="CR85">
        <v>1</v>
      </c>
      <c r="CS85">
        <v>1</v>
      </c>
      <c r="CT85">
        <v>1</v>
      </c>
      <c r="CU85">
        <v>1</v>
      </c>
      <c r="CV85">
        <v>1</v>
      </c>
    </row>
    <row r="86" spans="1:100">
      <c r="A86">
        <v>0</v>
      </c>
      <c r="B86">
        <v>0</v>
      </c>
      <c r="C86">
        <v>0</v>
      </c>
      <c r="D86">
        <v>1</v>
      </c>
      <c r="E86">
        <v>1</v>
      </c>
      <c r="F86">
        <v>0</v>
      </c>
      <c r="G86">
        <v>1</v>
      </c>
      <c r="H86">
        <v>0</v>
      </c>
      <c r="I86">
        <v>1</v>
      </c>
      <c r="J86">
        <v>1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  <c r="V86">
        <v>1</v>
      </c>
      <c r="W86">
        <v>1</v>
      </c>
      <c r="X86">
        <v>0</v>
      </c>
      <c r="Y86">
        <v>1</v>
      </c>
      <c r="Z86">
        <v>0</v>
      </c>
      <c r="AA86">
        <v>1</v>
      </c>
      <c r="AB86">
        <v>1</v>
      </c>
      <c r="AC86">
        <v>0</v>
      </c>
      <c r="AD86">
        <v>0</v>
      </c>
      <c r="AE86">
        <v>-1</v>
      </c>
      <c r="AF86">
        <v>-1</v>
      </c>
      <c r="AG86">
        <v>-1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-1</v>
      </c>
      <c r="AP86">
        <v>0</v>
      </c>
      <c r="AQ86">
        <v>-1</v>
      </c>
      <c r="AR86">
        <v>1</v>
      </c>
      <c r="AS86">
        <v>0</v>
      </c>
      <c r="AT86">
        <v>0</v>
      </c>
      <c r="AU86">
        <v>-1</v>
      </c>
      <c r="AV86">
        <v>0</v>
      </c>
      <c r="AW86">
        <v>-1</v>
      </c>
      <c r="AX86">
        <v>1</v>
      </c>
      <c r="AY86">
        <v>-1</v>
      </c>
      <c r="AZ86">
        <v>0</v>
      </c>
      <c r="BA86">
        <v>1</v>
      </c>
      <c r="BB86">
        <v>1</v>
      </c>
      <c r="BC86">
        <v>0</v>
      </c>
      <c r="BD86">
        <v>0</v>
      </c>
      <c r="BE86">
        <v>0</v>
      </c>
      <c r="BF86">
        <v>1</v>
      </c>
      <c r="BG86">
        <v>1</v>
      </c>
      <c r="BH86">
        <v>1</v>
      </c>
      <c r="BI86">
        <v>0</v>
      </c>
      <c r="BJ86">
        <v>1</v>
      </c>
      <c r="BK86">
        <v>-1</v>
      </c>
      <c r="BL86">
        <v>0</v>
      </c>
      <c r="BM86">
        <v>1</v>
      </c>
      <c r="BN86">
        <v>-1</v>
      </c>
      <c r="BO86">
        <v>1</v>
      </c>
      <c r="BP86">
        <v>1</v>
      </c>
      <c r="BQ86">
        <v>1</v>
      </c>
      <c r="BR86">
        <v>1</v>
      </c>
      <c r="BS86">
        <v>0</v>
      </c>
      <c r="BT86">
        <v>0</v>
      </c>
      <c r="BU86">
        <v>1</v>
      </c>
      <c r="BV86">
        <v>1</v>
      </c>
      <c r="BW86">
        <v>0</v>
      </c>
      <c r="BX86">
        <v>-1</v>
      </c>
      <c r="BY86">
        <v>1</v>
      </c>
      <c r="BZ86">
        <v>0</v>
      </c>
      <c r="CA86">
        <v>1</v>
      </c>
      <c r="CB86">
        <v>1</v>
      </c>
      <c r="CC86">
        <v>0</v>
      </c>
      <c r="CD86">
        <v>1</v>
      </c>
      <c r="CE86">
        <v>-1</v>
      </c>
      <c r="CF86">
        <v>0</v>
      </c>
      <c r="CG86">
        <v>1</v>
      </c>
      <c r="CH86">
        <v>0</v>
      </c>
      <c r="CI86">
        <v>0</v>
      </c>
      <c r="CJ86">
        <v>1</v>
      </c>
      <c r="CK86">
        <v>1</v>
      </c>
      <c r="CL86">
        <v>0</v>
      </c>
      <c r="CM86">
        <v>0</v>
      </c>
      <c r="CN86">
        <v>1</v>
      </c>
      <c r="CO86">
        <v>1</v>
      </c>
      <c r="CP86">
        <v>-1</v>
      </c>
      <c r="CQ86">
        <v>0</v>
      </c>
      <c r="CR86">
        <v>0</v>
      </c>
      <c r="CS86">
        <v>0</v>
      </c>
      <c r="CT86">
        <v>1</v>
      </c>
      <c r="CU86">
        <v>-1</v>
      </c>
      <c r="CV86">
        <v>0</v>
      </c>
    </row>
    <row r="87" spans="1:100">
      <c r="A87">
        <v>1</v>
      </c>
      <c r="B87">
        <v>1</v>
      </c>
      <c r="C87">
        <v>0</v>
      </c>
      <c r="D87">
        <v>-1</v>
      </c>
      <c r="E87">
        <v>-1</v>
      </c>
      <c r="F87">
        <v>1</v>
      </c>
      <c r="G87">
        <v>1</v>
      </c>
      <c r="H87">
        <v>0</v>
      </c>
      <c r="I87">
        <v>0</v>
      </c>
      <c r="J87">
        <v>1</v>
      </c>
      <c r="K87">
        <v>0</v>
      </c>
      <c r="L87">
        <v>0</v>
      </c>
      <c r="M87">
        <v>1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1</v>
      </c>
      <c r="Y87">
        <v>1</v>
      </c>
      <c r="Z87">
        <v>0</v>
      </c>
      <c r="AA87">
        <v>1</v>
      </c>
      <c r="AB87">
        <v>0</v>
      </c>
      <c r="AC87">
        <v>0</v>
      </c>
      <c r="AD87">
        <v>1</v>
      </c>
      <c r="AE87">
        <v>0</v>
      </c>
      <c r="AF87">
        <v>1</v>
      </c>
      <c r="AG87">
        <v>1</v>
      </c>
      <c r="AH87">
        <v>1</v>
      </c>
      <c r="AI87">
        <v>1</v>
      </c>
      <c r="AJ87">
        <v>0</v>
      </c>
      <c r="AK87">
        <v>-1</v>
      </c>
      <c r="AL87">
        <v>1</v>
      </c>
      <c r="AM87">
        <v>0</v>
      </c>
      <c r="AN87">
        <v>0</v>
      </c>
      <c r="AO87">
        <v>1</v>
      </c>
      <c r="AP87">
        <v>0</v>
      </c>
      <c r="AQ87">
        <v>0</v>
      </c>
      <c r="AR87">
        <v>1</v>
      </c>
      <c r="AS87">
        <v>1</v>
      </c>
      <c r="AT87">
        <v>0</v>
      </c>
      <c r="AU87">
        <v>1</v>
      </c>
      <c r="AV87">
        <v>-1</v>
      </c>
      <c r="AW87">
        <v>1</v>
      </c>
      <c r="AX87">
        <v>1</v>
      </c>
      <c r="AY87">
        <v>1</v>
      </c>
      <c r="AZ87">
        <v>0</v>
      </c>
      <c r="BA87">
        <v>1</v>
      </c>
      <c r="BB87">
        <v>0</v>
      </c>
      <c r="BC87">
        <v>1</v>
      </c>
      <c r="BD87">
        <v>0</v>
      </c>
      <c r="BE87">
        <v>0</v>
      </c>
      <c r="BF87">
        <v>0</v>
      </c>
      <c r="BG87">
        <v>0</v>
      </c>
      <c r="BH87">
        <v>1</v>
      </c>
      <c r="BI87">
        <v>0</v>
      </c>
      <c r="BJ87">
        <v>1</v>
      </c>
      <c r="BK87">
        <v>0</v>
      </c>
      <c r="BL87">
        <v>0</v>
      </c>
      <c r="BM87">
        <v>0</v>
      </c>
      <c r="BN87">
        <v>1</v>
      </c>
      <c r="BO87">
        <v>0</v>
      </c>
      <c r="BP87">
        <v>1</v>
      </c>
      <c r="BQ87">
        <v>0</v>
      </c>
      <c r="BR87">
        <v>1</v>
      </c>
      <c r="BS87">
        <v>0</v>
      </c>
      <c r="BT87">
        <v>1</v>
      </c>
      <c r="BU87">
        <v>1</v>
      </c>
      <c r="BV87">
        <v>0</v>
      </c>
      <c r="BW87">
        <v>0</v>
      </c>
      <c r="BX87">
        <v>-1</v>
      </c>
      <c r="BY87">
        <v>0</v>
      </c>
      <c r="BZ87">
        <v>0</v>
      </c>
      <c r="CA87">
        <v>1</v>
      </c>
      <c r="CB87">
        <v>0</v>
      </c>
      <c r="CC87">
        <v>1</v>
      </c>
      <c r="CD87">
        <v>1</v>
      </c>
      <c r="CE87">
        <v>1</v>
      </c>
      <c r="CF87">
        <v>-1</v>
      </c>
      <c r="CG87">
        <v>0</v>
      </c>
      <c r="CH87">
        <v>1</v>
      </c>
      <c r="CI87">
        <v>0</v>
      </c>
      <c r="CJ87">
        <v>1</v>
      </c>
      <c r="CK87">
        <v>0</v>
      </c>
      <c r="CL87">
        <v>1</v>
      </c>
      <c r="CM87">
        <v>0</v>
      </c>
      <c r="CN87">
        <v>-1</v>
      </c>
      <c r="CO87">
        <v>0</v>
      </c>
      <c r="CP87">
        <v>1</v>
      </c>
      <c r="CQ87">
        <v>-1</v>
      </c>
      <c r="CR87">
        <v>-1</v>
      </c>
      <c r="CS87">
        <v>1</v>
      </c>
      <c r="CT87">
        <v>0</v>
      </c>
      <c r="CU87">
        <v>1</v>
      </c>
      <c r="CV87">
        <v>0</v>
      </c>
    </row>
    <row r="88" spans="1:100">
      <c r="A88">
        <v>0</v>
      </c>
      <c r="B88">
        <v>1</v>
      </c>
      <c r="C88">
        <v>0</v>
      </c>
      <c r="D88">
        <v>0</v>
      </c>
      <c r="E88">
        <v>-1</v>
      </c>
      <c r="F88">
        <v>0</v>
      </c>
      <c r="G88">
        <v>-1</v>
      </c>
      <c r="H88">
        <v>-1</v>
      </c>
      <c r="I88">
        <v>1</v>
      </c>
      <c r="J88">
        <v>0</v>
      </c>
      <c r="K88">
        <v>0</v>
      </c>
      <c r="L88">
        <v>1</v>
      </c>
      <c r="M88">
        <v>1</v>
      </c>
      <c r="N88">
        <v>1</v>
      </c>
      <c r="O88">
        <v>1</v>
      </c>
      <c r="P88">
        <v>0</v>
      </c>
      <c r="Q88">
        <v>0</v>
      </c>
      <c r="R88">
        <v>0</v>
      </c>
      <c r="S88">
        <v>0</v>
      </c>
      <c r="T88">
        <v>1</v>
      </c>
      <c r="U88">
        <v>-1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1</v>
      </c>
      <c r="AE88">
        <v>0</v>
      </c>
      <c r="AF88">
        <v>-1</v>
      </c>
      <c r="AG88">
        <v>0</v>
      </c>
      <c r="AH88">
        <v>-1</v>
      </c>
      <c r="AI88">
        <v>0</v>
      </c>
      <c r="AJ88">
        <v>1</v>
      </c>
      <c r="AK88">
        <v>0</v>
      </c>
      <c r="AL88">
        <v>1</v>
      </c>
      <c r="AM88">
        <v>0</v>
      </c>
      <c r="AN88">
        <v>0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1</v>
      </c>
      <c r="AW88">
        <v>0</v>
      </c>
      <c r="AX88">
        <v>-1</v>
      </c>
      <c r="AY88">
        <v>1</v>
      </c>
      <c r="AZ88">
        <v>0</v>
      </c>
      <c r="BA88">
        <v>1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1</v>
      </c>
      <c r="BH88">
        <v>0</v>
      </c>
      <c r="BI88">
        <v>1</v>
      </c>
      <c r="BJ88">
        <v>0</v>
      </c>
      <c r="BK88">
        <v>0</v>
      </c>
      <c r="BL88">
        <v>0</v>
      </c>
      <c r="BM88">
        <v>1</v>
      </c>
      <c r="BN88">
        <v>1</v>
      </c>
      <c r="BO88">
        <v>1</v>
      </c>
      <c r="BP88">
        <v>1</v>
      </c>
      <c r="BQ88">
        <v>-1</v>
      </c>
      <c r="BR88">
        <v>1</v>
      </c>
      <c r="BS88">
        <v>0</v>
      </c>
      <c r="BT88">
        <v>1</v>
      </c>
      <c r="BU88">
        <v>0</v>
      </c>
      <c r="BV88">
        <v>0</v>
      </c>
      <c r="BW88">
        <v>-1</v>
      </c>
      <c r="BX88">
        <v>0</v>
      </c>
      <c r="BY88">
        <v>1</v>
      </c>
      <c r="BZ88">
        <v>-1</v>
      </c>
      <c r="CA88">
        <v>0</v>
      </c>
      <c r="CB88">
        <v>0</v>
      </c>
      <c r="CC88">
        <v>0</v>
      </c>
      <c r="CD88">
        <v>1</v>
      </c>
      <c r="CE88">
        <v>0</v>
      </c>
      <c r="CF88">
        <v>1</v>
      </c>
      <c r="CG88">
        <v>0</v>
      </c>
      <c r="CH88">
        <v>-1</v>
      </c>
      <c r="CI88">
        <v>0</v>
      </c>
      <c r="CJ88">
        <v>0</v>
      </c>
      <c r="CK88">
        <v>1</v>
      </c>
      <c r="CL88">
        <v>1</v>
      </c>
      <c r="CM88">
        <v>0</v>
      </c>
      <c r="CN88">
        <v>0</v>
      </c>
      <c r="CO88">
        <v>1</v>
      </c>
      <c r="CP88">
        <v>-1</v>
      </c>
      <c r="CQ88">
        <v>0</v>
      </c>
      <c r="CR88">
        <v>1</v>
      </c>
      <c r="CS88">
        <v>1</v>
      </c>
      <c r="CT88">
        <v>0</v>
      </c>
      <c r="CU88">
        <v>1</v>
      </c>
      <c r="CV88">
        <v>0</v>
      </c>
    </row>
    <row r="89" spans="1:100">
      <c r="A89">
        <v>1</v>
      </c>
      <c r="B89">
        <v>1</v>
      </c>
      <c r="C89">
        <v>0</v>
      </c>
      <c r="D89">
        <v>1</v>
      </c>
      <c r="E89">
        <v>0</v>
      </c>
      <c r="F89">
        <v>0</v>
      </c>
      <c r="G89">
        <v>0</v>
      </c>
      <c r="H89">
        <v>1</v>
      </c>
      <c r="I89">
        <v>1</v>
      </c>
      <c r="J89">
        <v>1</v>
      </c>
      <c r="K89">
        <v>0</v>
      </c>
      <c r="L89">
        <v>1</v>
      </c>
      <c r="M89">
        <v>-1</v>
      </c>
      <c r="N89">
        <v>1</v>
      </c>
      <c r="O89">
        <v>0</v>
      </c>
      <c r="P89">
        <v>1</v>
      </c>
      <c r="Q89">
        <v>1</v>
      </c>
      <c r="R89">
        <v>1</v>
      </c>
      <c r="S89">
        <v>0</v>
      </c>
      <c r="T89">
        <v>-1</v>
      </c>
      <c r="U89">
        <v>0</v>
      </c>
      <c r="V89">
        <v>0</v>
      </c>
      <c r="W89">
        <v>0</v>
      </c>
      <c r="X89">
        <v>1</v>
      </c>
      <c r="Y89">
        <v>1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1</v>
      </c>
      <c r="AJ89">
        <v>0</v>
      </c>
      <c r="AK89">
        <v>1</v>
      </c>
      <c r="AL89">
        <v>0</v>
      </c>
      <c r="AM89">
        <v>1</v>
      </c>
      <c r="AN89">
        <v>0</v>
      </c>
      <c r="AO89">
        <v>0</v>
      </c>
      <c r="AP89">
        <v>-1</v>
      </c>
      <c r="AQ89">
        <v>1</v>
      </c>
      <c r="AR89">
        <v>0</v>
      </c>
      <c r="AS89">
        <v>0</v>
      </c>
      <c r="AT89">
        <v>0</v>
      </c>
      <c r="AU89">
        <v>0</v>
      </c>
      <c r="AV89">
        <v>-1</v>
      </c>
      <c r="AW89">
        <v>0</v>
      </c>
      <c r="AX89">
        <v>1</v>
      </c>
      <c r="AY89">
        <v>1</v>
      </c>
      <c r="AZ89">
        <v>1</v>
      </c>
      <c r="BA89">
        <v>-1</v>
      </c>
      <c r="BB89">
        <v>0</v>
      </c>
      <c r="BC89">
        <v>0</v>
      </c>
      <c r="BD89">
        <v>0</v>
      </c>
      <c r="BE89">
        <v>1</v>
      </c>
      <c r="BF89">
        <v>0</v>
      </c>
      <c r="BG89">
        <v>0</v>
      </c>
      <c r="BH89">
        <v>0</v>
      </c>
      <c r="BI89">
        <v>0</v>
      </c>
      <c r="BJ89">
        <v>-1</v>
      </c>
      <c r="BK89">
        <v>0</v>
      </c>
      <c r="BL89">
        <v>1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1</v>
      </c>
      <c r="BV89">
        <v>1</v>
      </c>
      <c r="BW89">
        <v>0</v>
      </c>
      <c r="BX89">
        <v>1</v>
      </c>
      <c r="BY89">
        <v>-1</v>
      </c>
      <c r="BZ89">
        <v>1</v>
      </c>
      <c r="CA89">
        <v>-1</v>
      </c>
      <c r="CB89">
        <v>1</v>
      </c>
      <c r="CC89">
        <v>0</v>
      </c>
      <c r="CD89">
        <v>0</v>
      </c>
      <c r="CE89">
        <v>0</v>
      </c>
      <c r="CF89">
        <v>0</v>
      </c>
      <c r="CG89">
        <v>1</v>
      </c>
      <c r="CH89">
        <v>-1</v>
      </c>
      <c r="CI89">
        <v>0</v>
      </c>
      <c r="CJ89">
        <v>0</v>
      </c>
      <c r="CK89">
        <v>0</v>
      </c>
      <c r="CL89">
        <v>0</v>
      </c>
      <c r="CM89">
        <v>1</v>
      </c>
      <c r="CN89">
        <v>0</v>
      </c>
      <c r="CO89">
        <v>1</v>
      </c>
      <c r="CP89">
        <v>0</v>
      </c>
      <c r="CQ89">
        <v>0</v>
      </c>
      <c r="CR89">
        <v>-1</v>
      </c>
      <c r="CS89">
        <v>0</v>
      </c>
      <c r="CT89">
        <v>0</v>
      </c>
      <c r="CU89">
        <v>0</v>
      </c>
      <c r="CV89">
        <v>1</v>
      </c>
    </row>
    <row r="90" spans="1:100">
      <c r="A90">
        <v>0</v>
      </c>
      <c r="B90">
        <v>0</v>
      </c>
      <c r="C90">
        <v>0</v>
      </c>
      <c r="D90">
        <v>0</v>
      </c>
      <c r="E90">
        <v>1</v>
      </c>
      <c r="F90">
        <v>0</v>
      </c>
      <c r="G90">
        <v>1</v>
      </c>
      <c r="H90">
        <v>1</v>
      </c>
      <c r="I90">
        <v>0</v>
      </c>
      <c r="J90">
        <v>1</v>
      </c>
      <c r="K90">
        <v>0</v>
      </c>
      <c r="L90">
        <v>1</v>
      </c>
      <c r="M90">
        <v>1</v>
      </c>
      <c r="N90">
        <v>0</v>
      </c>
      <c r="O90">
        <v>0</v>
      </c>
      <c r="P90">
        <v>1</v>
      </c>
      <c r="Q90">
        <v>1</v>
      </c>
      <c r="R90">
        <v>-1</v>
      </c>
      <c r="S90">
        <v>0</v>
      </c>
      <c r="T90">
        <v>0</v>
      </c>
      <c r="U90">
        <v>1</v>
      </c>
      <c r="V90">
        <v>0</v>
      </c>
      <c r="W90">
        <v>1</v>
      </c>
      <c r="X90">
        <v>-1</v>
      </c>
      <c r="Y90">
        <v>1</v>
      </c>
      <c r="Z90">
        <v>1</v>
      </c>
      <c r="AA90">
        <v>1</v>
      </c>
      <c r="AB90">
        <v>1</v>
      </c>
      <c r="AC90">
        <v>0</v>
      </c>
      <c r="AD90">
        <v>1</v>
      </c>
      <c r="AE90">
        <v>1</v>
      </c>
      <c r="AF90">
        <v>0</v>
      </c>
      <c r="AG90">
        <v>-1</v>
      </c>
      <c r="AH90">
        <v>0</v>
      </c>
      <c r="AI90">
        <v>0</v>
      </c>
      <c r="AJ90">
        <v>-1</v>
      </c>
      <c r="AK90">
        <v>-1</v>
      </c>
      <c r="AL90">
        <v>-1</v>
      </c>
      <c r="AM90">
        <v>1</v>
      </c>
      <c r="AN90">
        <v>1</v>
      </c>
      <c r="AO90">
        <v>1</v>
      </c>
      <c r="AP90">
        <v>-1</v>
      </c>
      <c r="AQ90">
        <v>1</v>
      </c>
      <c r="AR90">
        <v>1</v>
      </c>
      <c r="AS90">
        <v>0</v>
      </c>
      <c r="AT90">
        <v>0</v>
      </c>
      <c r="AU90">
        <v>0</v>
      </c>
      <c r="AV90">
        <v>0</v>
      </c>
      <c r="AW90">
        <v>1</v>
      </c>
      <c r="AX90">
        <v>-1</v>
      </c>
      <c r="AY90">
        <v>1</v>
      </c>
      <c r="AZ90">
        <v>1</v>
      </c>
      <c r="BA90">
        <v>1</v>
      </c>
      <c r="BB90">
        <v>-1</v>
      </c>
      <c r="BC90">
        <v>1</v>
      </c>
      <c r="BD90">
        <v>1</v>
      </c>
      <c r="BE90">
        <v>1</v>
      </c>
      <c r="BF90">
        <v>1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1</v>
      </c>
      <c r="BP90">
        <v>0</v>
      </c>
      <c r="BQ90">
        <v>0</v>
      </c>
      <c r="BR90">
        <v>1</v>
      </c>
      <c r="BS90">
        <v>0</v>
      </c>
      <c r="BT90">
        <v>1</v>
      </c>
      <c r="BU90">
        <v>0</v>
      </c>
      <c r="BV90">
        <v>0</v>
      </c>
      <c r="BW90">
        <v>1</v>
      </c>
      <c r="BX90">
        <v>0</v>
      </c>
      <c r="BY90">
        <v>1</v>
      </c>
      <c r="BZ90">
        <v>0</v>
      </c>
      <c r="CA90">
        <v>0</v>
      </c>
      <c r="CB90">
        <v>0</v>
      </c>
      <c r="CC90">
        <v>0</v>
      </c>
      <c r="CD90">
        <v>1</v>
      </c>
      <c r="CE90">
        <v>0</v>
      </c>
      <c r="CF90">
        <v>0</v>
      </c>
      <c r="CG90">
        <v>-1</v>
      </c>
      <c r="CH90">
        <v>0</v>
      </c>
      <c r="CI90">
        <v>1</v>
      </c>
      <c r="CJ90">
        <v>1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1</v>
      </c>
      <c r="CQ90">
        <v>0</v>
      </c>
      <c r="CR90">
        <v>0</v>
      </c>
      <c r="CS90">
        <v>0</v>
      </c>
      <c r="CT90">
        <v>0</v>
      </c>
      <c r="CU90">
        <v>1</v>
      </c>
      <c r="CV90">
        <v>0</v>
      </c>
    </row>
    <row r="91" spans="1:100">
      <c r="A91">
        <v>0</v>
      </c>
      <c r="B91">
        <v>1</v>
      </c>
      <c r="C91">
        <v>1</v>
      </c>
      <c r="D91">
        <v>0</v>
      </c>
      <c r="E91">
        <v>1</v>
      </c>
      <c r="F91">
        <v>1</v>
      </c>
      <c r="G91">
        <v>-1</v>
      </c>
      <c r="H91">
        <v>1</v>
      </c>
      <c r="I91">
        <v>1</v>
      </c>
      <c r="J91">
        <v>0</v>
      </c>
      <c r="K91">
        <v>-1</v>
      </c>
      <c r="L91">
        <v>0</v>
      </c>
      <c r="M91">
        <v>1</v>
      </c>
      <c r="N91">
        <v>0</v>
      </c>
      <c r="O91">
        <v>1</v>
      </c>
      <c r="P91">
        <v>1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-1</v>
      </c>
      <c r="X91">
        <v>-1</v>
      </c>
      <c r="Y91">
        <v>0</v>
      </c>
      <c r="Z91">
        <v>0</v>
      </c>
      <c r="AA91">
        <v>1</v>
      </c>
      <c r="AB91">
        <v>1</v>
      </c>
      <c r="AC91">
        <v>-1</v>
      </c>
      <c r="AD91">
        <v>1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1</v>
      </c>
      <c r="AK91">
        <v>0</v>
      </c>
      <c r="AL91">
        <v>0</v>
      </c>
      <c r="AM91">
        <v>1</v>
      </c>
      <c r="AN91">
        <v>0</v>
      </c>
      <c r="AO91">
        <v>1</v>
      </c>
      <c r="AP91">
        <v>1</v>
      </c>
      <c r="AQ91">
        <v>0</v>
      </c>
      <c r="AR91">
        <v>0</v>
      </c>
      <c r="AS91">
        <v>1</v>
      </c>
      <c r="AT91">
        <v>0</v>
      </c>
      <c r="AU91">
        <v>1</v>
      </c>
      <c r="AV91">
        <v>0</v>
      </c>
      <c r="AW91">
        <v>0</v>
      </c>
      <c r="AX91">
        <v>0</v>
      </c>
      <c r="AY91">
        <v>1</v>
      </c>
      <c r="AZ91">
        <v>0</v>
      </c>
      <c r="BA91">
        <v>1</v>
      </c>
      <c r="BB91">
        <v>-1</v>
      </c>
      <c r="BC91">
        <v>0</v>
      </c>
      <c r="BD91">
        <v>1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1</v>
      </c>
      <c r="BN91">
        <v>1</v>
      </c>
      <c r="BO91">
        <v>1</v>
      </c>
      <c r="BP91">
        <v>0</v>
      </c>
      <c r="BQ91">
        <v>0</v>
      </c>
      <c r="BR91">
        <v>1</v>
      </c>
      <c r="BS91">
        <v>-1</v>
      </c>
      <c r="BT91">
        <v>1</v>
      </c>
      <c r="BU91">
        <v>0</v>
      </c>
      <c r="BV91">
        <v>1</v>
      </c>
      <c r="BW91">
        <v>0</v>
      </c>
      <c r="BX91">
        <v>0</v>
      </c>
      <c r="BY91">
        <v>0</v>
      </c>
      <c r="BZ91">
        <v>-1</v>
      </c>
      <c r="CA91">
        <v>-1</v>
      </c>
      <c r="CB91">
        <v>0</v>
      </c>
      <c r="CC91">
        <v>0</v>
      </c>
      <c r="CD91">
        <v>1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1</v>
      </c>
      <c r="CL91">
        <v>0</v>
      </c>
      <c r="CM91">
        <v>-1</v>
      </c>
      <c r="CN91">
        <v>0</v>
      </c>
      <c r="CO91">
        <v>-1</v>
      </c>
      <c r="CP91">
        <v>1</v>
      </c>
      <c r="CQ91">
        <v>0</v>
      </c>
      <c r="CR91">
        <v>1</v>
      </c>
      <c r="CS91">
        <v>0</v>
      </c>
      <c r="CT91">
        <v>0</v>
      </c>
      <c r="CU91">
        <v>0</v>
      </c>
      <c r="CV91">
        <v>-1</v>
      </c>
    </row>
    <row r="92" spans="1:100">
      <c r="A92">
        <v>1</v>
      </c>
      <c r="B92">
        <v>0</v>
      </c>
      <c r="C92">
        <v>-1</v>
      </c>
      <c r="D92">
        <v>0</v>
      </c>
      <c r="E92">
        <v>-1</v>
      </c>
      <c r="F92">
        <v>0</v>
      </c>
      <c r="G92">
        <v>1</v>
      </c>
      <c r="H92">
        <v>1</v>
      </c>
      <c r="I92">
        <v>0</v>
      </c>
      <c r="J92">
        <v>0</v>
      </c>
      <c r="K92">
        <v>1</v>
      </c>
      <c r="L92">
        <v>1</v>
      </c>
      <c r="M92">
        <v>1</v>
      </c>
      <c r="N92">
        <v>1</v>
      </c>
      <c r="O92">
        <v>0</v>
      </c>
      <c r="P92">
        <v>0</v>
      </c>
      <c r="Q92">
        <v>-1</v>
      </c>
      <c r="R92">
        <v>1</v>
      </c>
      <c r="S92">
        <v>0</v>
      </c>
      <c r="T92">
        <v>0</v>
      </c>
      <c r="U92">
        <v>0</v>
      </c>
      <c r="V92">
        <v>1</v>
      </c>
      <c r="W92">
        <v>-1</v>
      </c>
      <c r="X92">
        <v>0</v>
      </c>
      <c r="Y92">
        <v>1</v>
      </c>
      <c r="Z92">
        <v>0</v>
      </c>
      <c r="AA92">
        <v>0</v>
      </c>
      <c r="AB92">
        <v>1</v>
      </c>
      <c r="AC92">
        <v>1</v>
      </c>
      <c r="AD92">
        <v>0</v>
      </c>
      <c r="AE92">
        <v>0</v>
      </c>
      <c r="AF92">
        <v>0</v>
      </c>
      <c r="AG92">
        <v>1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</v>
      </c>
      <c r="AP92">
        <v>1</v>
      </c>
      <c r="AQ92">
        <v>0</v>
      </c>
      <c r="AR92">
        <v>0</v>
      </c>
      <c r="AS92">
        <v>1</v>
      </c>
      <c r="AT92">
        <v>-1</v>
      </c>
      <c r="AU92">
        <v>-1</v>
      </c>
      <c r="AV92">
        <v>1</v>
      </c>
      <c r="AW92">
        <v>0</v>
      </c>
      <c r="AX92">
        <v>0</v>
      </c>
      <c r="AY92">
        <v>1</v>
      </c>
      <c r="AZ92">
        <v>1</v>
      </c>
      <c r="BA92">
        <v>0</v>
      </c>
      <c r="BB92">
        <v>-1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0</v>
      </c>
      <c r="BI92">
        <v>0</v>
      </c>
      <c r="BJ92">
        <v>1</v>
      </c>
      <c r="BK92">
        <v>1</v>
      </c>
      <c r="BL92">
        <v>0</v>
      </c>
      <c r="BM92">
        <v>1</v>
      </c>
      <c r="BN92">
        <v>1</v>
      </c>
      <c r="BO92">
        <v>0</v>
      </c>
      <c r="BP92">
        <v>0</v>
      </c>
      <c r="BQ92">
        <v>1</v>
      </c>
      <c r="BR92">
        <v>-1</v>
      </c>
      <c r="BS92">
        <v>0</v>
      </c>
      <c r="BT92">
        <v>0</v>
      </c>
      <c r="BU92">
        <v>0</v>
      </c>
      <c r="BV92">
        <v>1</v>
      </c>
      <c r="BW92">
        <v>1</v>
      </c>
      <c r="BX92">
        <v>0</v>
      </c>
      <c r="BY92">
        <v>1</v>
      </c>
      <c r="BZ92">
        <v>1</v>
      </c>
      <c r="CA92">
        <v>1</v>
      </c>
      <c r="CB92">
        <v>0</v>
      </c>
      <c r="CC92">
        <v>1</v>
      </c>
      <c r="CD92">
        <v>1</v>
      </c>
      <c r="CE92">
        <v>-1</v>
      </c>
      <c r="CF92">
        <v>1</v>
      </c>
      <c r="CG92">
        <v>0</v>
      </c>
      <c r="CH92">
        <v>0</v>
      </c>
      <c r="CI92">
        <v>0</v>
      </c>
      <c r="CJ92">
        <v>1</v>
      </c>
      <c r="CK92">
        <v>-1</v>
      </c>
      <c r="CL92">
        <v>1</v>
      </c>
      <c r="CM92">
        <v>-1</v>
      </c>
      <c r="CN92">
        <v>0</v>
      </c>
      <c r="CO92">
        <v>1</v>
      </c>
      <c r="CP92">
        <v>1</v>
      </c>
      <c r="CQ92">
        <v>1</v>
      </c>
      <c r="CR92">
        <v>0</v>
      </c>
      <c r="CS92">
        <v>1</v>
      </c>
      <c r="CT92">
        <v>1</v>
      </c>
      <c r="CU92">
        <v>0</v>
      </c>
      <c r="CV92">
        <v>1</v>
      </c>
    </row>
    <row r="93" spans="1:100">
      <c r="A93">
        <v>1</v>
      </c>
      <c r="B93">
        <v>1</v>
      </c>
      <c r="C93">
        <v>0</v>
      </c>
      <c r="D93">
        <v>1</v>
      </c>
      <c r="E93">
        <v>1</v>
      </c>
      <c r="F93">
        <v>0</v>
      </c>
      <c r="G93">
        <v>0</v>
      </c>
      <c r="H93">
        <v>-1</v>
      </c>
      <c r="I93">
        <v>0</v>
      </c>
      <c r="J93">
        <v>0</v>
      </c>
      <c r="K93">
        <v>0</v>
      </c>
      <c r="L93">
        <v>0</v>
      </c>
      <c r="M93">
        <v>-1</v>
      </c>
      <c r="N93">
        <v>1</v>
      </c>
      <c r="O93">
        <v>0</v>
      </c>
      <c r="P93">
        <v>1</v>
      </c>
      <c r="Q93">
        <v>0</v>
      </c>
      <c r="R93">
        <v>1</v>
      </c>
      <c r="S93">
        <v>1</v>
      </c>
      <c r="T93">
        <v>-1</v>
      </c>
      <c r="U93">
        <v>0</v>
      </c>
      <c r="V93">
        <v>1</v>
      </c>
      <c r="W93">
        <v>0</v>
      </c>
      <c r="X93">
        <v>1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-1</v>
      </c>
      <c r="AF93">
        <v>1</v>
      </c>
      <c r="AG93">
        <v>-1</v>
      </c>
      <c r="AH93">
        <v>0</v>
      </c>
      <c r="AI93">
        <v>0</v>
      </c>
      <c r="AJ93">
        <v>1</v>
      </c>
      <c r="AK93">
        <v>0</v>
      </c>
      <c r="AL93">
        <v>1</v>
      </c>
      <c r="AM93">
        <v>1</v>
      </c>
      <c r="AN93">
        <v>1</v>
      </c>
      <c r="AO93">
        <v>0</v>
      </c>
      <c r="AP93">
        <v>0</v>
      </c>
      <c r="AQ93">
        <v>0</v>
      </c>
      <c r="AR93">
        <v>-1</v>
      </c>
      <c r="AS93">
        <v>0</v>
      </c>
      <c r="AT93">
        <v>1</v>
      </c>
      <c r="AU93">
        <v>0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1</v>
      </c>
      <c r="BB93">
        <v>1</v>
      </c>
      <c r="BC93">
        <v>0</v>
      </c>
      <c r="BD93">
        <v>0</v>
      </c>
      <c r="BE93">
        <v>-1</v>
      </c>
      <c r="BF93">
        <v>1</v>
      </c>
      <c r="BG93">
        <v>0</v>
      </c>
      <c r="BH93">
        <v>-1</v>
      </c>
      <c r="BI93">
        <v>0</v>
      </c>
      <c r="BJ93">
        <v>1</v>
      </c>
      <c r="BK93">
        <v>0</v>
      </c>
      <c r="BL93">
        <v>0</v>
      </c>
      <c r="BM93">
        <v>0</v>
      </c>
      <c r="BN93">
        <v>1</v>
      </c>
      <c r="BO93">
        <v>1</v>
      </c>
      <c r="BP93">
        <v>0</v>
      </c>
      <c r="BQ93">
        <v>1</v>
      </c>
      <c r="BR93">
        <v>1</v>
      </c>
      <c r="BS93">
        <v>1</v>
      </c>
      <c r="BT93">
        <v>-1</v>
      </c>
      <c r="BU93">
        <v>1</v>
      </c>
      <c r="BV93">
        <v>-1</v>
      </c>
      <c r="BW93">
        <v>0</v>
      </c>
      <c r="BX93">
        <v>0</v>
      </c>
      <c r="BY93">
        <v>0</v>
      </c>
      <c r="BZ93">
        <v>0</v>
      </c>
      <c r="CA93">
        <v>1</v>
      </c>
      <c r="CB93">
        <v>0</v>
      </c>
      <c r="CC93">
        <v>1</v>
      </c>
      <c r="CD93">
        <v>0</v>
      </c>
      <c r="CE93">
        <v>1</v>
      </c>
      <c r="CF93">
        <v>1</v>
      </c>
      <c r="CG93">
        <v>1</v>
      </c>
      <c r="CH93">
        <v>0</v>
      </c>
      <c r="CI93">
        <v>1</v>
      </c>
      <c r="CJ93">
        <v>1</v>
      </c>
      <c r="CK93">
        <v>0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0</v>
      </c>
      <c r="CR93">
        <v>0</v>
      </c>
      <c r="CS93">
        <v>1</v>
      </c>
      <c r="CT93">
        <v>-1</v>
      </c>
      <c r="CU93">
        <v>0</v>
      </c>
      <c r="CV93">
        <v>1</v>
      </c>
    </row>
    <row r="94" spans="1:100">
      <c r="A94">
        <v>-1</v>
      </c>
      <c r="B94">
        <v>0</v>
      </c>
      <c r="C94">
        <v>1</v>
      </c>
      <c r="D94">
        <v>-1</v>
      </c>
      <c r="E94">
        <v>0</v>
      </c>
      <c r="F94">
        <v>0</v>
      </c>
      <c r="G94">
        <v>0</v>
      </c>
      <c r="H94">
        <v>1</v>
      </c>
      <c r="I94">
        <v>1</v>
      </c>
      <c r="J94">
        <v>1</v>
      </c>
      <c r="K94">
        <v>0</v>
      </c>
      <c r="L94">
        <v>1</v>
      </c>
      <c r="M94">
        <v>1</v>
      </c>
      <c r="N94">
        <v>-1</v>
      </c>
      <c r="O94">
        <v>0</v>
      </c>
      <c r="P94">
        <v>0</v>
      </c>
      <c r="Q94">
        <v>-1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1</v>
      </c>
      <c r="AG94">
        <v>1</v>
      </c>
      <c r="AH94">
        <v>0</v>
      </c>
      <c r="AI94">
        <v>0</v>
      </c>
      <c r="AJ94">
        <v>1</v>
      </c>
      <c r="AK94">
        <v>1</v>
      </c>
      <c r="AL94">
        <v>0</v>
      </c>
      <c r="AM94">
        <v>0</v>
      </c>
      <c r="AN94">
        <v>0</v>
      </c>
      <c r="AO94">
        <v>1</v>
      </c>
      <c r="AP94">
        <v>0</v>
      </c>
      <c r="AQ94">
        <v>0</v>
      </c>
      <c r="AR94">
        <v>0</v>
      </c>
      <c r="AS94">
        <v>1</v>
      </c>
      <c r="AT94">
        <v>0</v>
      </c>
      <c r="AU94">
        <v>1</v>
      </c>
      <c r="AV94">
        <v>0</v>
      </c>
      <c r="AW94">
        <v>1</v>
      </c>
      <c r="AX94">
        <v>0</v>
      </c>
      <c r="AY94">
        <v>0</v>
      </c>
      <c r="AZ94">
        <v>0</v>
      </c>
      <c r="BA94">
        <v>1</v>
      </c>
      <c r="BB94">
        <v>1</v>
      </c>
      <c r="BC94">
        <v>1</v>
      </c>
      <c r="BD94">
        <v>0</v>
      </c>
      <c r="BE94">
        <v>1</v>
      </c>
      <c r="BF94">
        <v>1</v>
      </c>
      <c r="BG94">
        <v>0</v>
      </c>
      <c r="BH94">
        <v>1</v>
      </c>
      <c r="BI94">
        <v>0</v>
      </c>
      <c r="BJ94">
        <v>0</v>
      </c>
      <c r="BK94">
        <v>1</v>
      </c>
      <c r="BL94">
        <v>1</v>
      </c>
      <c r="BM94">
        <v>0</v>
      </c>
      <c r="BN94">
        <v>0</v>
      </c>
      <c r="BO94">
        <v>0</v>
      </c>
      <c r="BP94">
        <v>-1</v>
      </c>
      <c r="BQ94">
        <v>0</v>
      </c>
      <c r="BR94">
        <v>1</v>
      </c>
      <c r="BS94">
        <v>1</v>
      </c>
      <c r="BT94">
        <v>0</v>
      </c>
      <c r="BU94">
        <v>0</v>
      </c>
      <c r="BV94">
        <v>0</v>
      </c>
      <c r="BW94">
        <v>0</v>
      </c>
      <c r="BX94">
        <v>1</v>
      </c>
      <c r="BY94">
        <v>0</v>
      </c>
      <c r="BZ94">
        <v>0</v>
      </c>
      <c r="CA94">
        <v>-1</v>
      </c>
      <c r="CB94">
        <v>0</v>
      </c>
      <c r="CC94">
        <v>1</v>
      </c>
      <c r="CD94">
        <v>1</v>
      </c>
      <c r="CE94">
        <v>1</v>
      </c>
      <c r="CF94">
        <v>0</v>
      </c>
      <c r="CG94">
        <v>1</v>
      </c>
      <c r="CH94">
        <v>-1</v>
      </c>
      <c r="CI94">
        <v>0</v>
      </c>
      <c r="CJ94">
        <v>1</v>
      </c>
      <c r="CK94">
        <v>1</v>
      </c>
      <c r="CL94">
        <v>1</v>
      </c>
      <c r="CM94">
        <v>1</v>
      </c>
      <c r="CN94">
        <v>0</v>
      </c>
      <c r="CO94">
        <v>0</v>
      </c>
      <c r="CP94">
        <v>0</v>
      </c>
      <c r="CQ94">
        <v>1</v>
      </c>
      <c r="CR94">
        <v>0</v>
      </c>
      <c r="CS94">
        <v>1</v>
      </c>
      <c r="CT94">
        <v>0</v>
      </c>
      <c r="CU94">
        <v>0</v>
      </c>
      <c r="CV94">
        <v>1</v>
      </c>
    </row>
    <row r="95" spans="1:100">
      <c r="A95">
        <v>0</v>
      </c>
      <c r="B95">
        <v>0</v>
      </c>
      <c r="C95">
        <v>-1</v>
      </c>
      <c r="D95">
        <v>0</v>
      </c>
      <c r="E95">
        <v>0</v>
      </c>
      <c r="F95">
        <v>1</v>
      </c>
      <c r="G95">
        <v>1</v>
      </c>
      <c r="H95">
        <v>0</v>
      </c>
      <c r="I95">
        <v>0</v>
      </c>
      <c r="J95">
        <v>0</v>
      </c>
      <c r="K95">
        <v>1</v>
      </c>
      <c r="L95">
        <v>1</v>
      </c>
      <c r="M95">
        <v>-1</v>
      </c>
      <c r="N95">
        <v>0</v>
      </c>
      <c r="O95">
        <v>0</v>
      </c>
      <c r="P95">
        <v>0</v>
      </c>
      <c r="Q95">
        <v>1</v>
      </c>
      <c r="R95">
        <v>0</v>
      </c>
      <c r="S95">
        <v>-1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1</v>
      </c>
      <c r="AO95">
        <v>0</v>
      </c>
      <c r="AP95">
        <v>0</v>
      </c>
      <c r="AQ95">
        <v>0</v>
      </c>
      <c r="AR95">
        <v>0</v>
      </c>
      <c r="AS95">
        <v>1</v>
      </c>
      <c r="AT95">
        <v>1</v>
      </c>
      <c r="AU95">
        <v>0</v>
      </c>
      <c r="AV95">
        <v>0</v>
      </c>
      <c r="AW95">
        <v>1</v>
      </c>
      <c r="AX95">
        <v>0</v>
      </c>
      <c r="AY95">
        <v>1</v>
      </c>
      <c r="AZ95">
        <v>1</v>
      </c>
      <c r="BA95">
        <v>1</v>
      </c>
      <c r="BB95">
        <v>1</v>
      </c>
      <c r="BC95">
        <v>-1</v>
      </c>
      <c r="BD95">
        <v>0</v>
      </c>
      <c r="BE95">
        <v>1</v>
      </c>
      <c r="BF95">
        <v>1</v>
      </c>
      <c r="BG95">
        <v>0</v>
      </c>
      <c r="BH95">
        <v>1</v>
      </c>
      <c r="BI95">
        <v>0</v>
      </c>
      <c r="BJ95">
        <v>1</v>
      </c>
      <c r="BK95">
        <v>1</v>
      </c>
      <c r="BL95">
        <v>0</v>
      </c>
      <c r="BM95">
        <v>1</v>
      </c>
      <c r="BN95">
        <v>0</v>
      </c>
      <c r="BO95">
        <v>-1</v>
      </c>
      <c r="BP95">
        <v>0</v>
      </c>
      <c r="BQ95">
        <v>0</v>
      </c>
      <c r="BR95">
        <v>1</v>
      </c>
      <c r="BS95">
        <v>0</v>
      </c>
      <c r="BT95">
        <v>0</v>
      </c>
      <c r="BU95">
        <v>0</v>
      </c>
      <c r="BV95">
        <v>0</v>
      </c>
      <c r="BW95">
        <v>-1</v>
      </c>
      <c r="BX95">
        <v>1</v>
      </c>
      <c r="BY95">
        <v>1</v>
      </c>
      <c r="BZ95">
        <v>0</v>
      </c>
      <c r="CA95">
        <v>1</v>
      </c>
      <c r="CB95">
        <v>0</v>
      </c>
      <c r="CC95">
        <v>0</v>
      </c>
      <c r="CD95">
        <v>1</v>
      </c>
      <c r="CE95">
        <v>0</v>
      </c>
      <c r="CF95">
        <v>1</v>
      </c>
      <c r="CG95">
        <v>1</v>
      </c>
      <c r="CH95">
        <v>-1</v>
      </c>
      <c r="CI95">
        <v>-1</v>
      </c>
      <c r="CJ95">
        <v>0</v>
      </c>
      <c r="CK95">
        <v>1</v>
      </c>
      <c r="CL95">
        <v>0</v>
      </c>
      <c r="CM95">
        <v>1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-1</v>
      </c>
      <c r="CT95">
        <v>0</v>
      </c>
      <c r="CU95">
        <v>0</v>
      </c>
      <c r="CV95">
        <v>0</v>
      </c>
    </row>
    <row r="96" spans="1:100">
      <c r="A96">
        <v>-1</v>
      </c>
      <c r="B96">
        <v>0</v>
      </c>
      <c r="C96">
        <v>0</v>
      </c>
      <c r="D96">
        <v>1</v>
      </c>
      <c r="E96">
        <v>1</v>
      </c>
      <c r="F96">
        <v>1</v>
      </c>
      <c r="G96">
        <v>0</v>
      </c>
      <c r="H96">
        <v>0</v>
      </c>
      <c r="I96">
        <v>1</v>
      </c>
      <c r="J96">
        <v>0</v>
      </c>
      <c r="K96">
        <v>0</v>
      </c>
      <c r="L96">
        <v>1</v>
      </c>
      <c r="M96">
        <v>1</v>
      </c>
      <c r="N96">
        <v>1</v>
      </c>
      <c r="O96">
        <v>0</v>
      </c>
      <c r="P96">
        <v>0</v>
      </c>
      <c r="Q96">
        <v>0</v>
      </c>
      <c r="R96">
        <v>-1</v>
      </c>
      <c r="S96">
        <v>0</v>
      </c>
      <c r="T96">
        <v>0</v>
      </c>
      <c r="U96">
        <v>1</v>
      </c>
      <c r="V96">
        <v>1</v>
      </c>
      <c r="W96">
        <v>0</v>
      </c>
      <c r="X96">
        <v>1</v>
      </c>
      <c r="Y96">
        <v>0</v>
      </c>
      <c r="Z96">
        <v>1</v>
      </c>
      <c r="AA96">
        <v>1</v>
      </c>
      <c r="AB96">
        <v>0</v>
      </c>
      <c r="AC96">
        <v>1</v>
      </c>
      <c r="AD96">
        <v>1</v>
      </c>
      <c r="AE96">
        <v>1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1</v>
      </c>
      <c r="AL96">
        <v>1</v>
      </c>
      <c r="AM96">
        <v>0</v>
      </c>
      <c r="AN96">
        <v>1</v>
      </c>
      <c r="AO96">
        <v>0</v>
      </c>
      <c r="AP96">
        <v>0</v>
      </c>
      <c r="AQ96">
        <v>0</v>
      </c>
      <c r="AR96">
        <v>1</v>
      </c>
      <c r="AS96">
        <v>-1</v>
      </c>
      <c r="AT96">
        <v>1</v>
      </c>
      <c r="AU96">
        <v>0</v>
      </c>
      <c r="AV96">
        <v>0</v>
      </c>
      <c r="AW96">
        <v>1</v>
      </c>
      <c r="AX96">
        <v>1</v>
      </c>
      <c r="AY96">
        <v>1</v>
      </c>
      <c r="AZ96">
        <v>0</v>
      </c>
      <c r="BA96">
        <v>1</v>
      </c>
      <c r="BB96">
        <v>1</v>
      </c>
      <c r="BC96">
        <v>1</v>
      </c>
      <c r="BD96">
        <v>0</v>
      </c>
      <c r="BE96">
        <v>1</v>
      </c>
      <c r="BF96">
        <v>0</v>
      </c>
      <c r="BG96">
        <v>1</v>
      </c>
      <c r="BH96">
        <v>1</v>
      </c>
      <c r="BI96">
        <v>-1</v>
      </c>
      <c r="BJ96">
        <v>0</v>
      </c>
      <c r="BK96">
        <v>1</v>
      </c>
      <c r="BL96">
        <v>0</v>
      </c>
      <c r="BM96">
        <v>1</v>
      </c>
      <c r="BN96">
        <v>1</v>
      </c>
      <c r="BO96">
        <v>1</v>
      </c>
      <c r="BP96">
        <v>-1</v>
      </c>
      <c r="BQ96">
        <v>1</v>
      </c>
      <c r="BR96">
        <v>0</v>
      </c>
      <c r="BS96">
        <v>1</v>
      </c>
      <c r="BT96">
        <v>-1</v>
      </c>
      <c r="BU96">
        <v>0</v>
      </c>
      <c r="BV96">
        <v>0</v>
      </c>
      <c r="BW96">
        <v>1</v>
      </c>
      <c r="BX96">
        <v>1</v>
      </c>
      <c r="BY96">
        <v>0</v>
      </c>
      <c r="BZ96">
        <v>0</v>
      </c>
      <c r="CA96">
        <v>1</v>
      </c>
      <c r="CB96">
        <v>-1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1</v>
      </c>
      <c r="CI96">
        <v>1</v>
      </c>
      <c r="CJ96">
        <v>-1</v>
      </c>
      <c r="CK96">
        <v>0</v>
      </c>
      <c r="CL96">
        <v>1</v>
      </c>
      <c r="CM96">
        <v>0</v>
      </c>
      <c r="CN96">
        <v>0</v>
      </c>
      <c r="CO96">
        <v>0</v>
      </c>
      <c r="CP96">
        <v>1</v>
      </c>
      <c r="CQ96">
        <v>1</v>
      </c>
      <c r="CR96">
        <v>0</v>
      </c>
      <c r="CS96">
        <v>0</v>
      </c>
      <c r="CT96">
        <v>1</v>
      </c>
      <c r="CU96">
        <v>0</v>
      </c>
      <c r="CV96">
        <v>0</v>
      </c>
    </row>
    <row r="97" spans="1:100">
      <c r="A97">
        <v>0</v>
      </c>
      <c r="B97">
        <v>0</v>
      </c>
      <c r="C97">
        <v>1</v>
      </c>
      <c r="D97">
        <v>1</v>
      </c>
      <c r="E97">
        <v>1</v>
      </c>
      <c r="F97">
        <v>1</v>
      </c>
      <c r="G97">
        <v>0</v>
      </c>
      <c r="H97">
        <v>1</v>
      </c>
      <c r="I97">
        <v>0</v>
      </c>
      <c r="J97">
        <v>-1</v>
      </c>
      <c r="K97">
        <v>0</v>
      </c>
      <c r="L97">
        <v>0</v>
      </c>
      <c r="M97">
        <v>1</v>
      </c>
      <c r="N97">
        <v>0</v>
      </c>
      <c r="O97">
        <v>1</v>
      </c>
      <c r="P97">
        <v>0</v>
      </c>
      <c r="Q97">
        <v>1</v>
      </c>
      <c r="R97">
        <v>0</v>
      </c>
      <c r="S97">
        <v>1</v>
      </c>
      <c r="T97">
        <v>0</v>
      </c>
      <c r="U97">
        <v>0</v>
      </c>
      <c r="V97">
        <v>1</v>
      </c>
      <c r="W97">
        <v>-1</v>
      </c>
      <c r="X97">
        <v>1</v>
      </c>
      <c r="Y97">
        <v>1</v>
      </c>
      <c r="Z97">
        <v>0</v>
      </c>
      <c r="AA97">
        <v>1</v>
      </c>
      <c r="AB97">
        <v>0</v>
      </c>
      <c r="AC97">
        <v>0</v>
      </c>
      <c r="AD97">
        <v>1</v>
      </c>
      <c r="AE97">
        <v>0</v>
      </c>
      <c r="AF97">
        <v>1</v>
      </c>
      <c r="AG97">
        <v>1</v>
      </c>
      <c r="AH97">
        <v>0</v>
      </c>
      <c r="AI97">
        <v>-1</v>
      </c>
      <c r="AJ97">
        <v>1</v>
      </c>
      <c r="AK97">
        <v>1</v>
      </c>
      <c r="AL97">
        <v>1</v>
      </c>
      <c r="AM97">
        <v>0</v>
      </c>
      <c r="AN97">
        <v>1</v>
      </c>
      <c r="AO97">
        <v>0</v>
      </c>
      <c r="AP97">
        <v>1</v>
      </c>
      <c r="AQ97">
        <v>0</v>
      </c>
      <c r="AR97">
        <v>0</v>
      </c>
      <c r="AS97">
        <v>1</v>
      </c>
      <c r="AT97">
        <v>1</v>
      </c>
      <c r="AU97">
        <v>0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1</v>
      </c>
      <c r="BC97">
        <v>0</v>
      </c>
      <c r="BD97">
        <v>1</v>
      </c>
      <c r="BE97">
        <v>0</v>
      </c>
      <c r="BF97">
        <v>1</v>
      </c>
      <c r="BG97">
        <v>0</v>
      </c>
      <c r="BH97">
        <v>-1</v>
      </c>
      <c r="BI97">
        <v>-1</v>
      </c>
      <c r="BJ97">
        <v>-1</v>
      </c>
      <c r="BK97">
        <v>1</v>
      </c>
      <c r="BL97">
        <v>1</v>
      </c>
      <c r="BM97">
        <v>0</v>
      </c>
      <c r="BN97">
        <v>0</v>
      </c>
      <c r="BO97">
        <v>1</v>
      </c>
      <c r="BP97">
        <v>0</v>
      </c>
      <c r="BQ97">
        <v>0</v>
      </c>
      <c r="BR97">
        <v>0</v>
      </c>
      <c r="BS97">
        <v>-1</v>
      </c>
      <c r="BT97">
        <v>1</v>
      </c>
      <c r="BU97">
        <v>0</v>
      </c>
      <c r="BV97">
        <v>1</v>
      </c>
      <c r="BW97">
        <v>1</v>
      </c>
      <c r="BX97">
        <v>0</v>
      </c>
      <c r="BY97">
        <v>1</v>
      </c>
      <c r="BZ97">
        <v>0</v>
      </c>
      <c r="CA97">
        <v>1</v>
      </c>
      <c r="CB97">
        <v>1</v>
      </c>
      <c r="CC97">
        <v>-1</v>
      </c>
      <c r="CD97">
        <v>0</v>
      </c>
      <c r="CE97">
        <v>0</v>
      </c>
      <c r="CF97">
        <v>1</v>
      </c>
      <c r="CG97">
        <v>1</v>
      </c>
      <c r="CH97">
        <v>0</v>
      </c>
      <c r="CI97">
        <v>1</v>
      </c>
      <c r="CJ97">
        <v>1</v>
      </c>
      <c r="CK97">
        <v>1</v>
      </c>
      <c r="CL97">
        <v>1</v>
      </c>
      <c r="CM97">
        <v>0</v>
      </c>
      <c r="CN97">
        <v>0</v>
      </c>
      <c r="CO97">
        <v>0</v>
      </c>
      <c r="CP97">
        <v>1</v>
      </c>
      <c r="CQ97">
        <v>1</v>
      </c>
      <c r="CR97">
        <v>0</v>
      </c>
      <c r="CS97">
        <v>1</v>
      </c>
      <c r="CT97">
        <v>0</v>
      </c>
      <c r="CU97">
        <v>1</v>
      </c>
      <c r="CV97">
        <v>1</v>
      </c>
    </row>
    <row r="98" spans="1:100">
      <c r="A98">
        <v>0</v>
      </c>
      <c r="B98">
        <v>1</v>
      </c>
      <c r="C98">
        <v>0</v>
      </c>
      <c r="D98">
        <v>0</v>
      </c>
      <c r="E98">
        <v>1</v>
      </c>
      <c r="F98">
        <v>1</v>
      </c>
      <c r="G98">
        <v>1</v>
      </c>
      <c r="H98">
        <v>1</v>
      </c>
      <c r="I98">
        <v>0</v>
      </c>
      <c r="J98">
        <v>-1</v>
      </c>
      <c r="K98">
        <v>1</v>
      </c>
      <c r="L98">
        <v>1</v>
      </c>
      <c r="M98">
        <v>0</v>
      </c>
      <c r="N98">
        <v>0</v>
      </c>
      <c r="O98">
        <v>1</v>
      </c>
      <c r="P98">
        <v>1</v>
      </c>
      <c r="Q98">
        <v>1</v>
      </c>
      <c r="R98">
        <v>0</v>
      </c>
      <c r="S98">
        <v>0</v>
      </c>
      <c r="T98">
        <v>1</v>
      </c>
      <c r="U98">
        <v>0</v>
      </c>
      <c r="V98">
        <v>1</v>
      </c>
      <c r="W98">
        <v>1</v>
      </c>
      <c r="X98">
        <v>0</v>
      </c>
      <c r="Y98">
        <v>0</v>
      </c>
      <c r="Z98">
        <v>0</v>
      </c>
      <c r="AA98">
        <v>1</v>
      </c>
      <c r="AB98">
        <v>1</v>
      </c>
      <c r="AC98">
        <v>0</v>
      </c>
      <c r="AD98">
        <v>0</v>
      </c>
      <c r="AE98">
        <v>0</v>
      </c>
      <c r="AF98">
        <v>1</v>
      </c>
      <c r="AG98">
        <v>1</v>
      </c>
      <c r="AH98">
        <v>0</v>
      </c>
      <c r="AI98">
        <v>0</v>
      </c>
      <c r="AJ98">
        <v>-1</v>
      </c>
      <c r="AK98">
        <v>0</v>
      </c>
      <c r="AL98">
        <v>0</v>
      </c>
      <c r="AM98">
        <v>1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1</v>
      </c>
      <c r="AW98">
        <v>1</v>
      </c>
      <c r="AX98">
        <v>0</v>
      </c>
      <c r="AY98">
        <v>1</v>
      </c>
      <c r="AZ98">
        <v>1</v>
      </c>
      <c r="BA98">
        <v>0</v>
      </c>
      <c r="BB98">
        <v>1</v>
      </c>
      <c r="BC98">
        <v>1</v>
      </c>
      <c r="BD98">
        <v>0</v>
      </c>
      <c r="BE98">
        <v>1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1</v>
      </c>
      <c r="BL98">
        <v>1</v>
      </c>
      <c r="BM98">
        <v>0</v>
      </c>
      <c r="BN98">
        <v>0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1</v>
      </c>
      <c r="CB98">
        <v>-1</v>
      </c>
      <c r="CC98">
        <v>1</v>
      </c>
      <c r="CD98">
        <v>0</v>
      </c>
      <c r="CE98">
        <v>-1</v>
      </c>
      <c r="CF98">
        <v>1</v>
      </c>
      <c r="CG98">
        <v>1</v>
      </c>
      <c r="CH98">
        <v>0</v>
      </c>
      <c r="CI98">
        <v>1</v>
      </c>
      <c r="CJ98">
        <v>1</v>
      </c>
      <c r="CK98">
        <v>1</v>
      </c>
      <c r="CL98">
        <v>-1</v>
      </c>
      <c r="CM98">
        <v>0</v>
      </c>
      <c r="CN98">
        <v>0</v>
      </c>
      <c r="CO98">
        <v>0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0</v>
      </c>
      <c r="CV98">
        <v>0</v>
      </c>
    </row>
    <row r="99" spans="1:100">
      <c r="A99">
        <v>1</v>
      </c>
      <c r="B99">
        <v>0</v>
      </c>
      <c r="C99">
        <v>0</v>
      </c>
      <c r="D99">
        <v>1</v>
      </c>
      <c r="E99">
        <v>1</v>
      </c>
      <c r="F99">
        <v>0</v>
      </c>
      <c r="G99">
        <v>0</v>
      </c>
      <c r="H99">
        <v>1</v>
      </c>
      <c r="I99">
        <v>1</v>
      </c>
      <c r="J99">
        <v>0</v>
      </c>
      <c r="K99">
        <v>1</v>
      </c>
      <c r="L99">
        <v>0</v>
      </c>
      <c r="M99">
        <v>0</v>
      </c>
      <c r="N99">
        <v>0</v>
      </c>
      <c r="O99">
        <v>1</v>
      </c>
      <c r="P99">
        <v>0</v>
      </c>
      <c r="Q99">
        <v>1</v>
      </c>
      <c r="R99">
        <v>1</v>
      </c>
      <c r="S99">
        <v>1</v>
      </c>
      <c r="T99">
        <v>0</v>
      </c>
      <c r="U99">
        <v>0</v>
      </c>
      <c r="V99">
        <v>-1</v>
      </c>
      <c r="W99">
        <v>1</v>
      </c>
      <c r="X99">
        <v>0</v>
      </c>
      <c r="Y99">
        <v>1</v>
      </c>
      <c r="Z99">
        <v>1</v>
      </c>
      <c r="AA99">
        <v>0</v>
      </c>
      <c r="AB99">
        <v>1</v>
      </c>
      <c r="AC99">
        <v>-1</v>
      </c>
      <c r="AD99">
        <v>1</v>
      </c>
      <c r="AE99">
        <v>1</v>
      </c>
      <c r="AF99">
        <v>-1</v>
      </c>
      <c r="AG99">
        <v>-1</v>
      </c>
      <c r="AH99">
        <v>1</v>
      </c>
      <c r="AI99">
        <v>1</v>
      </c>
      <c r="AJ99">
        <v>0</v>
      </c>
      <c r="AK99">
        <v>1</v>
      </c>
      <c r="AL99">
        <v>1</v>
      </c>
      <c r="AM99">
        <v>0</v>
      </c>
      <c r="AN99">
        <v>1</v>
      </c>
      <c r="AO99">
        <v>0</v>
      </c>
      <c r="AP99">
        <v>1</v>
      </c>
      <c r="AQ99">
        <v>1</v>
      </c>
      <c r="AR99">
        <v>0</v>
      </c>
      <c r="AS99">
        <v>1</v>
      </c>
      <c r="AT99">
        <v>0</v>
      </c>
      <c r="AU99">
        <v>0</v>
      </c>
      <c r="AV99">
        <v>0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-1</v>
      </c>
      <c r="BD99">
        <v>1</v>
      </c>
      <c r="BE99">
        <v>1</v>
      </c>
      <c r="BF99">
        <v>1</v>
      </c>
      <c r="BG99">
        <v>0</v>
      </c>
      <c r="BH99">
        <v>1</v>
      </c>
      <c r="BI99">
        <v>0</v>
      </c>
      <c r="BJ99">
        <v>0</v>
      </c>
      <c r="BK99">
        <v>0</v>
      </c>
      <c r="BL99">
        <v>1</v>
      </c>
      <c r="BM99">
        <v>0</v>
      </c>
      <c r="BN99">
        <v>0</v>
      </c>
      <c r="BO99">
        <v>0</v>
      </c>
      <c r="BP99">
        <v>0</v>
      </c>
      <c r="BQ99">
        <v>1</v>
      </c>
      <c r="BR99">
        <v>1</v>
      </c>
      <c r="BS99">
        <v>0</v>
      </c>
      <c r="BT99">
        <v>0</v>
      </c>
      <c r="BU99">
        <v>1</v>
      </c>
      <c r="BV99">
        <v>1</v>
      </c>
      <c r="BW99">
        <v>1</v>
      </c>
      <c r="BX99">
        <v>1</v>
      </c>
      <c r="BY99">
        <v>-1</v>
      </c>
      <c r="BZ99">
        <v>0</v>
      </c>
      <c r="CA99">
        <v>0</v>
      </c>
      <c r="CB99">
        <v>0</v>
      </c>
      <c r="CC99">
        <v>0</v>
      </c>
      <c r="CD99">
        <v>-1</v>
      </c>
      <c r="CE99">
        <v>1</v>
      </c>
      <c r="CF99">
        <v>-1</v>
      </c>
      <c r="CG99">
        <v>0</v>
      </c>
      <c r="CH99">
        <v>0</v>
      </c>
      <c r="CI99">
        <v>0</v>
      </c>
      <c r="CJ99">
        <v>1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1</v>
      </c>
      <c r="CR99">
        <v>1</v>
      </c>
      <c r="CS99">
        <v>1</v>
      </c>
      <c r="CT99">
        <v>1</v>
      </c>
      <c r="CU99">
        <v>0</v>
      </c>
      <c r="CV99">
        <v>-1</v>
      </c>
    </row>
    <row r="100" spans="1:100">
      <c r="A100">
        <v>1</v>
      </c>
      <c r="B100">
        <v>0</v>
      </c>
      <c r="C100">
        <v>0</v>
      </c>
      <c r="D100">
        <v>1</v>
      </c>
      <c r="E100">
        <v>0</v>
      </c>
      <c r="F100">
        <v>1</v>
      </c>
      <c r="G100">
        <v>-1</v>
      </c>
      <c r="H100">
        <v>1</v>
      </c>
      <c r="I100">
        <v>1</v>
      </c>
      <c r="J100">
        <v>0</v>
      </c>
      <c r="K100">
        <v>1</v>
      </c>
      <c r="L100">
        <v>0</v>
      </c>
      <c r="M100">
        <v>0</v>
      </c>
      <c r="N100">
        <v>1</v>
      </c>
      <c r="O100">
        <v>0</v>
      </c>
      <c r="P100">
        <v>1</v>
      </c>
      <c r="Q100">
        <v>-1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1</v>
      </c>
      <c r="X100">
        <v>-1</v>
      </c>
      <c r="Y100">
        <v>1</v>
      </c>
      <c r="Z100">
        <v>1</v>
      </c>
      <c r="AA100">
        <v>0</v>
      </c>
      <c r="AB100">
        <v>0</v>
      </c>
      <c r="AC100">
        <v>-1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0</v>
      </c>
      <c r="AK100">
        <v>1</v>
      </c>
      <c r="AL100">
        <v>0</v>
      </c>
      <c r="AM100">
        <v>0</v>
      </c>
      <c r="AN100">
        <v>0</v>
      </c>
      <c r="AO100">
        <v>-1</v>
      </c>
      <c r="AP100">
        <v>0</v>
      </c>
      <c r="AQ100">
        <v>0</v>
      </c>
      <c r="AR100">
        <v>1</v>
      </c>
      <c r="AS100">
        <v>0</v>
      </c>
      <c r="AT100">
        <v>1</v>
      </c>
      <c r="AU100">
        <v>1</v>
      </c>
      <c r="AV100">
        <v>0</v>
      </c>
      <c r="AW100">
        <v>1</v>
      </c>
      <c r="AX100">
        <v>1</v>
      </c>
      <c r="AY100">
        <v>0</v>
      </c>
      <c r="AZ100">
        <v>1</v>
      </c>
      <c r="BA100">
        <v>1</v>
      </c>
      <c r="BB100">
        <v>1</v>
      </c>
      <c r="BC100">
        <v>-1</v>
      </c>
      <c r="BD100">
        <v>0</v>
      </c>
      <c r="BE100">
        <v>0</v>
      </c>
      <c r="BF100">
        <v>0</v>
      </c>
      <c r="BG100">
        <v>-1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0</v>
      </c>
      <c r="BN100">
        <v>0</v>
      </c>
      <c r="BO100">
        <v>0</v>
      </c>
      <c r="BP100">
        <v>0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0</v>
      </c>
      <c r="BW100">
        <v>1</v>
      </c>
      <c r="BX100">
        <v>0</v>
      </c>
      <c r="BY100">
        <v>0</v>
      </c>
      <c r="BZ100">
        <v>1</v>
      </c>
      <c r="CA100">
        <v>0</v>
      </c>
      <c r="CB100">
        <v>0</v>
      </c>
      <c r="CC100">
        <v>1</v>
      </c>
      <c r="CD100">
        <v>1</v>
      </c>
      <c r="CE100">
        <v>0</v>
      </c>
      <c r="CF100">
        <v>0</v>
      </c>
      <c r="CG100">
        <v>0</v>
      </c>
      <c r="CH100">
        <v>0</v>
      </c>
      <c r="CI100">
        <v>1</v>
      </c>
      <c r="CJ100">
        <v>0</v>
      </c>
      <c r="CK100">
        <v>0</v>
      </c>
      <c r="CL100">
        <v>0</v>
      </c>
      <c r="CM100">
        <v>0</v>
      </c>
      <c r="CN100">
        <v>-1</v>
      </c>
      <c r="CO100">
        <v>0</v>
      </c>
      <c r="CP100">
        <v>0</v>
      </c>
      <c r="CQ100">
        <v>0</v>
      </c>
      <c r="CR100">
        <v>-1</v>
      </c>
      <c r="CS100">
        <v>1</v>
      </c>
      <c r="CT100">
        <v>0</v>
      </c>
      <c r="CU100">
        <v>1</v>
      </c>
      <c r="CV100">
        <v>1</v>
      </c>
    </row>
  </sheetData>
  <pageMargins left="0.7" right="0.7" top="0.75" bottom="0.75" header="0.3" footer="0.3"/>
  <headerFooter>
    <oddFooter>&amp;C_x000D_&amp;1#&amp;"Calibri"&amp;10&amp;K000000 SLB-Private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961EB-1FBA-AC4F-809E-A5298E18AD5F}">
  <dimension ref="A1:A21"/>
  <sheetViews>
    <sheetView workbookViewId="0">
      <selection activeCell="A39" sqref="A39"/>
    </sheetView>
  </sheetViews>
  <sheetFormatPr defaultColWidth="10.875" defaultRowHeight="15.75"/>
  <cols>
    <col min="1" max="1" width="116.875" style="50" customWidth="1"/>
    <col min="2" max="16384" width="10.875" style="51"/>
  </cols>
  <sheetData>
    <row r="1" spans="1:1">
      <c r="A1" s="50" t="s">
        <v>46</v>
      </c>
    </row>
    <row r="3" spans="1:1">
      <c r="A3" s="50" t="s">
        <v>62</v>
      </c>
    </row>
    <row r="5" spans="1:1">
      <c r="A5" s="50" t="s">
        <v>47</v>
      </c>
    </row>
    <row r="6" spans="1:1">
      <c r="A6" s="50" t="s">
        <v>48</v>
      </c>
    </row>
    <row r="7" spans="1:1">
      <c r="A7" s="50" t="s">
        <v>49</v>
      </c>
    </row>
    <row r="8" spans="1:1">
      <c r="A8" s="50" t="s">
        <v>50</v>
      </c>
    </row>
    <row r="9" spans="1:1">
      <c r="A9" s="50" t="s">
        <v>51</v>
      </c>
    </row>
    <row r="10" spans="1:1">
      <c r="A10" s="50" t="s">
        <v>52</v>
      </c>
    </row>
    <row r="11" spans="1:1">
      <c r="A11" s="52"/>
    </row>
    <row r="12" spans="1:1">
      <c r="A12" s="50" t="s">
        <v>53</v>
      </c>
    </row>
    <row r="13" spans="1:1">
      <c r="A13" s="50" t="s">
        <v>54</v>
      </c>
    </row>
    <row r="15" spans="1:1">
      <c r="A15" s="50" t="s">
        <v>55</v>
      </c>
    </row>
    <row r="16" spans="1:1">
      <c r="A16" s="50" t="s">
        <v>56</v>
      </c>
    </row>
    <row r="17" spans="1:1">
      <c r="A17" s="50" t="s">
        <v>57</v>
      </c>
    </row>
    <row r="18" spans="1:1">
      <c r="A18" s="50" t="s">
        <v>58</v>
      </c>
    </row>
    <row r="19" spans="1:1">
      <c r="A19" s="50" t="s">
        <v>59</v>
      </c>
    </row>
    <row r="20" spans="1:1">
      <c r="A20" s="50" t="s">
        <v>60</v>
      </c>
    </row>
    <row r="21" spans="1:1">
      <c r="A21" s="50" t="s">
        <v>61</v>
      </c>
    </row>
  </sheetData>
  <pageMargins left="0.7" right="0.7" top="0.75" bottom="0.75" header="0.3" footer="0.3"/>
  <headerFooter>
    <oddFooter>&amp;C_x000D_&amp;1#&amp;"Calibri"&amp;10&amp;K000000 SLB-Private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ppVersion xmlns="eda0043c-c824-4f20-8945-0867114f5f5b" xsi:nil="true"/>
    <Invited_Teachers xmlns="eda0043c-c824-4f20-8945-0867114f5f5b" xsi:nil="true"/>
    <Templates xmlns="eda0043c-c824-4f20-8945-0867114f5f5b" xsi:nil="true"/>
    <NotebookType xmlns="eda0043c-c824-4f20-8945-0867114f5f5b" xsi:nil="true"/>
    <Teachers xmlns="eda0043c-c824-4f20-8945-0867114f5f5b">
      <UserInfo>
        <DisplayName/>
        <AccountId xsi:nil="true"/>
        <AccountType/>
      </UserInfo>
    </Teachers>
    <Student_Groups xmlns="eda0043c-c824-4f20-8945-0867114f5f5b">
      <UserInfo>
        <DisplayName/>
        <AccountId xsi:nil="true"/>
        <AccountType/>
      </UserInfo>
    </Student_Groups>
    <Invited_Students xmlns="eda0043c-c824-4f20-8945-0867114f5f5b" xsi:nil="true"/>
    <Math_Settings xmlns="eda0043c-c824-4f20-8945-0867114f5f5b" xsi:nil="true"/>
    <Students xmlns="eda0043c-c824-4f20-8945-0867114f5f5b">
      <UserInfo>
        <DisplayName/>
        <AccountId xsi:nil="true"/>
        <AccountType/>
      </UserInfo>
    </Students>
    <LMS_Mappings xmlns="eda0043c-c824-4f20-8945-0867114f5f5b" xsi:nil="true"/>
    <IsNotebookLocked xmlns="eda0043c-c824-4f20-8945-0867114f5f5b" xsi:nil="true"/>
    <_activity xmlns="eda0043c-c824-4f20-8945-0867114f5f5b" xsi:nil="true"/>
    <Is_Collaboration_Space_Locked xmlns="eda0043c-c824-4f20-8945-0867114f5f5b" xsi:nil="true"/>
    <Self_Registration_Enabled xmlns="eda0043c-c824-4f20-8945-0867114f5f5b" xsi:nil="true"/>
    <Has_Teacher_Only_SectionGroup xmlns="eda0043c-c824-4f20-8945-0867114f5f5b" xsi:nil="true"/>
    <FolderType xmlns="eda0043c-c824-4f20-8945-0867114f5f5b" xsi:nil="true"/>
    <TeamsChannelId xmlns="eda0043c-c824-4f20-8945-0867114f5f5b" xsi:nil="true"/>
    <DefaultSectionNames xmlns="eda0043c-c824-4f20-8945-0867114f5f5b" xsi:nil="true"/>
    <CultureName xmlns="eda0043c-c824-4f20-8945-0867114f5f5b" xsi:nil="true"/>
    <Teams_Channel_Section_Location xmlns="eda0043c-c824-4f20-8945-0867114f5f5b" xsi:nil="true"/>
    <Owner xmlns="eda0043c-c824-4f20-8945-0867114f5f5b">
      <UserInfo>
        <DisplayName/>
        <AccountId xsi:nil="true"/>
        <AccountType/>
      </UserInfo>
    </Owner>
    <Distribution_Groups xmlns="eda0043c-c824-4f20-8945-0867114f5f5b" xsi:nil="true"/>
  </documentManagement>
</p:propertie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E0BD7304521046B23CDAA75CE67A4C" ma:contentTypeVersion="39" ma:contentTypeDescription="Create a new document." ma:contentTypeScope="" ma:versionID="978eb269f7322211fe83acebe9ff316e">
  <xsd:schema xmlns:xsd="http://www.w3.org/2001/XMLSchema" xmlns:xs="http://www.w3.org/2001/XMLSchema" xmlns:p="http://schemas.microsoft.com/office/2006/metadata/properties" xmlns:ns3="eda0043c-c824-4f20-8945-0867114f5f5b" xmlns:ns4="8e8ff7c6-5699-4712-beb0-61485df6b650" targetNamespace="http://schemas.microsoft.com/office/2006/metadata/properties" ma:root="true" ma:fieldsID="dcc0d6f5e45335d4962d05f00644bdfb" ns3:_="" ns4:_="">
    <xsd:import namespace="eda0043c-c824-4f20-8945-0867114f5f5b"/>
    <xsd:import namespace="8e8ff7c6-5699-4712-beb0-61485df6b65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_activity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Teachers" minOccurs="0"/>
                <xsd:element ref="ns3:Students" minOccurs="0"/>
                <xsd:element ref="ns3:Student_Groups" minOccurs="0"/>
                <xsd:element ref="ns3:Distribution_Groups" minOccurs="0"/>
                <xsd:element ref="ns3:LMS_Mapping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3:IsNotebookLocked" minOccurs="0"/>
                <xsd:element ref="ns3:Teams_Channel_Section_Location" minOccurs="0"/>
                <xsd:element ref="ns3:MediaLengthInSecond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a0043c-c824-4f20-8945-0867114f5f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NotebookType" ma:index="20" nillable="true" ma:displayName="Notebook Type" ma:internalName="NotebookType">
      <xsd:simpleType>
        <xsd:restriction base="dms:Text"/>
      </xsd:simpleType>
    </xsd:element>
    <xsd:element name="FolderType" ma:index="21" nillable="true" ma:displayName="Folder Type" ma:internalName="FolderType">
      <xsd:simpleType>
        <xsd:restriction base="dms:Text"/>
      </xsd:simpleType>
    </xsd:element>
    <xsd:element name="CultureName" ma:index="22" nillable="true" ma:displayName="Culture Name" ma:internalName="CultureName">
      <xsd:simpleType>
        <xsd:restriction base="dms:Text"/>
      </xsd:simpleType>
    </xsd:element>
    <xsd:element name="AppVersion" ma:index="23" nillable="true" ma:displayName="App Version" ma:internalName="AppVersion">
      <xsd:simpleType>
        <xsd:restriction base="dms:Text"/>
      </xsd:simpleType>
    </xsd:element>
    <xsd:element name="TeamsChannelId" ma:index="24" nillable="true" ma:displayName="Teams Channel Id" ma:internalName="TeamsChannelId">
      <xsd:simpleType>
        <xsd:restriction base="dms:Text"/>
      </xsd:simpleType>
    </xsd:element>
    <xsd:element name="Owner" ma:index="25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6" nillable="true" ma:displayName="Math Settings" ma:internalName="Math_Settings">
      <xsd:simpleType>
        <xsd:restriction base="dms:Text"/>
      </xsd:simpleType>
    </xsd:element>
    <xsd:element name="DefaultSectionNames" ma:index="27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8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9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0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1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2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3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4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5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6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7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8" nillable="true" ma:displayName="Is Collaboration Space Locked" ma:internalName="Is_Collaboration_Space_Locked">
      <xsd:simpleType>
        <xsd:restriction base="dms:Boolean"/>
      </xsd:simpleType>
    </xsd:element>
    <xsd:element name="IsNotebookLocked" ma:index="39" nillable="true" ma:displayName="Is Notebook Locked" ma:internalName="IsNotebookLocked">
      <xsd:simpleType>
        <xsd:restriction base="dms:Boolean"/>
      </xsd:simpleType>
    </xsd:element>
    <xsd:element name="Teams_Channel_Section_Location" ma:index="40" nillable="true" ma:displayName="Teams Channel Section Location" ma:internalName="Teams_Channel_Section_Location">
      <xsd:simpleType>
        <xsd:restriction base="dms:Text"/>
      </xsd:simpleType>
    </xsd:element>
    <xsd:element name="MediaLengthInSeconds" ma:index="4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4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4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4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45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4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8ff7c6-5699-4712-beb0-61485df6b65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0FED69-08C6-4753-A90E-AF23D577113F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www.w3.org/XML/1998/namespace"/>
    <ds:schemaRef ds:uri="http://purl.org/dc/dcmitype/"/>
    <ds:schemaRef ds:uri="http://schemas.microsoft.com/office/infopath/2007/PartnerControls"/>
    <ds:schemaRef ds:uri="8e8ff7c6-5699-4712-beb0-61485df6b650"/>
    <ds:schemaRef ds:uri="eda0043c-c824-4f20-8945-0867114f5f5b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0CA4842-B38F-46DC-BF91-0B71EB9F97BB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3FE42948-4E58-40E9-8C58-362F75D847D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C55D333-4019-44D2-913E-227F70F373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a0043c-c824-4f20-8945-0867114f5f5b"/>
    <ds:schemaRef ds:uri="8e8ff7c6-5699-4712-beb0-61485df6b6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  <clbl:label id="{8bb759f6-5337-4dc5-b19b-e74b6da11f8f}" enabled="1" method="Standard" siteId="{41ff26dc-250f-4b13-8981-739be8610c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blank</vt:lpstr>
      <vt:lpstr>random</vt:lpstr>
      <vt:lpstr>LICENSE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 Yeh</dc:creator>
  <cp:keywords/>
  <dc:description/>
  <cp:lastModifiedBy>Heberth Taguado</cp:lastModifiedBy>
  <cp:revision/>
  <dcterms:created xsi:type="dcterms:W3CDTF">2024-12-14T16:49:51Z</dcterms:created>
  <dcterms:modified xsi:type="dcterms:W3CDTF">2025-02-02T23:16:33Z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0x0101004AE0BD7304521046B23CDAA75CE67A4C</vt:lpwstr>
  </property>
</Properties>
</file>