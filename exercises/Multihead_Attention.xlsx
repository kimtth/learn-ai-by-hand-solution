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10" documentId="8_{909BB4AE-DED1-4267-904C-2177D48FA7DF}" xr6:coauthVersionLast="47" xr6:coauthVersionMax="47" xr10:uidLastSave="{181D9D3B-60BD-4853-A157-E54258E12066}"/>
  <bookViews>
    <workbookView xWindow="-120" yWindow="-120" windowWidth="20730" windowHeight="11310" xr2:uid="{507D3CD0-92AA-E84E-A75B-54161F524C63}"/>
  </bookViews>
  <sheets>
    <sheet name="3 heads" sheetId="1" r:id="rId1"/>
    <sheet name="LICENSE" sheetId="2" r:id="rId2"/>
  </sheets>
  <externalReferences>
    <externalReference r:id="rId3"/>
  </externalReferences>
  <definedNames>
    <definedName name="_alpha1">'[1]ReLU vs. LeakyReLU'!$H$5</definedName>
    <definedName name="_alpha2">'[1]ReLU vs. LeakyReLU'!#REF!</definedName>
    <definedName name="RANDLINEAR">_xlfn.LAMBDA(_xlpm.rows,_xlpm.columns,_xlpm.has_biases,  _xlfn.LET(_xlpm.weights, _xlfn.MAKEARRAY(_xlpm.rows,_xlpm.columns,                                _xlfn.LAMBDA(_xlpm.i,_xlpm.j, _xlfn.LET(_xlpm.s, RAND(), IF(_xlpm.s&gt;0.6,1, IF(_xlpm.s&gt;0.5, -1, 0))))),         _xlpm.biases, _xlfn.MAKEARRAY(_xlpm.rows,1, _xlfn.LAMBDA(_xlpm.i,_xlpm.j, RANDBETWEEN(-3,3))),  IF(_xlpm.has_biases, _xlfn.HSTACK(_xlpm.weights, _xlpm.biases), _xlpm.weights)))</definedName>
    <definedName name="SOFTMAX">_xlfn.LAMBDA(_xlpm.x, _xlfn.LET(_xlpm.s,  SUM(EXP(_xlpm.x)), EXP(_xlpm.x) / _xlpm.s))</definedName>
    <definedName name="wid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7" i="1" l="1" a="1"/>
  <c r="O67" i="1" s="1"/>
  <c r="O63" i="1" a="1"/>
  <c r="O63" i="1" s="1"/>
  <c r="O59" i="1" a="1"/>
  <c r="O59" i="1" s="1"/>
  <c r="O46" i="1" a="1"/>
  <c r="O46" i="1" s="1"/>
  <c r="O42" i="1" a="1"/>
  <c r="O42" i="1" s="1"/>
  <c r="O38" i="1" a="1"/>
  <c r="O38" i="1" s="1"/>
  <c r="O25" i="1" a="1"/>
  <c r="O25" i="1" s="1"/>
  <c r="O21" i="1" a="1"/>
  <c r="O21" i="1" s="1"/>
  <c r="O17" i="1" a="1"/>
  <c r="O17" i="1" s="1"/>
  <c r="AB52" i="1" l="1" a="1"/>
  <c r="AB52" i="1" s="1"/>
  <c r="X44" i="1" a="1"/>
  <c r="X44" i="1" s="1"/>
  <c r="AB38" i="1" a="1"/>
  <c r="AB38" i="1" s="1"/>
  <c r="AB73" i="1" l="1" a="1"/>
  <c r="AB73" i="1" s="1"/>
  <c r="X65" i="1" a="1"/>
  <c r="X65" i="1" s="1"/>
  <c r="AB59" i="1" a="1"/>
  <c r="AB59" i="1" s="1"/>
  <c r="AB17" i="1" a="1"/>
  <c r="AB17" i="1" s="1"/>
  <c r="AB44" i="1" a="1"/>
  <c r="X23" i="1" a="1"/>
  <c r="X23" i="1" s="1"/>
  <c r="AB31" i="1" a="1"/>
  <c r="AB31" i="1" s="1"/>
  <c r="AB23" i="1" l="1" a="1"/>
  <c r="AB23" i="1" s="1"/>
  <c r="AB65" i="1" a="1"/>
  <c r="AB44" i="1"/>
  <c r="AJ44" i="1" s="1" a="1"/>
  <c r="AJ44" i="1" s="1"/>
  <c r="AM44" i="1" a="1"/>
  <c r="AM44" i="1" s="1"/>
  <c r="AL44" i="1" a="1"/>
  <c r="AL44" i="1" s="1"/>
  <c r="AO44" i="1" a="1"/>
  <c r="AO44" i="1" s="1"/>
  <c r="AK44" i="1" a="1"/>
  <c r="AK44" i="1" s="1"/>
  <c r="AN44" i="1" a="1"/>
  <c r="AN44" i="1" s="1"/>
  <c r="AB65" i="1" l="1"/>
  <c r="AJ65" i="1" s="1" a="1"/>
  <c r="AJ65" i="1" s="1"/>
  <c r="AK65" i="1" a="1"/>
  <c r="AK65" i="1" s="1"/>
  <c r="AL65" i="1" a="1"/>
  <c r="AL65" i="1" s="1"/>
  <c r="AM65" i="1" a="1"/>
  <c r="AM65" i="1" s="1"/>
  <c r="AN65" i="1" a="1"/>
  <c r="AN65" i="1" s="1"/>
  <c r="AO65" i="1" a="1"/>
  <c r="AO65" i="1" s="1"/>
  <c r="AJ52" i="1" a="1"/>
  <c r="AJ52" i="1" s="1"/>
  <c r="O83" i="1" s="1" a="1"/>
  <c r="O83" i="1" s="1"/>
  <c r="AO23" i="1" a="1"/>
  <c r="AO23" i="1" s="1"/>
  <c r="AK23" i="1" a="1"/>
  <c r="AK23" i="1" s="1"/>
  <c r="AL23" i="1" a="1"/>
  <c r="AL23" i="1" s="1"/>
  <c r="AN23" i="1" a="1"/>
  <c r="AN23" i="1" s="1"/>
  <c r="AJ23" i="1" a="1"/>
  <c r="AJ23" i="1" s="1"/>
  <c r="AM23" i="1" a="1"/>
  <c r="AM23" i="1" s="1"/>
  <c r="AJ73" i="1" l="1" a="1"/>
  <c r="AJ73" i="1" s="1"/>
  <c r="O86" i="1" s="1" a="1"/>
  <c r="O86" i="1" s="1"/>
  <c r="AJ31" i="1" a="1"/>
  <c r="AJ31" i="1" s="1"/>
  <c r="O80" i="1" s="1" a="1"/>
  <c r="O80" i="1" s="1"/>
  <c r="O92" i="1" s="1" a="1"/>
  <c r="O9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<sst xmlns="http://schemas.openxmlformats.org/spreadsheetml/2006/main" count="170" uniqueCount="36">
  <si>
    <t>Head</t>
  </si>
  <si>
    <t>t</t>
  </si>
  <si>
    <t>Wq</t>
  </si>
  <si>
    <t xml:space="preserve">Q </t>
  </si>
  <si>
    <t>Q</t>
  </si>
  <si>
    <t>→</t>
  </si>
  <si>
    <t>K^T * Q / sqrt(dk)</t>
  </si>
  <si>
    <t>Softmax</t>
  </si>
  <si>
    <t>K^T</t>
  </si>
  <si>
    <t>↓</t>
  </si>
  <si>
    <t>Wk</t>
  </si>
  <si>
    <t>K</t>
  </si>
  <si>
    <t>V</t>
  </si>
  <si>
    <t>V'</t>
  </si>
  <si>
    <t>Wv</t>
  </si>
  <si>
    <t>Wo</t>
  </si>
  <si>
    <t>Output</t>
  </si>
  <si>
    <t>Multi-head Attention | AI by Hand  ✍️ © 2024 Tom Yeh</t>
  </si>
  <si>
    <t>MIT License</t>
  </si>
  <si>
    <t>Copyright (c) 2024 Tom Yeh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</si>
  <si>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</si>
  <si>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</si>
  <si>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</si>
  <si>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</si>
  <si>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</si>
  <si>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</si>
  <si>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</si>
  <si>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</si>
  <si>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</si>
  <si>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</si>
  <si>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</si>
  <si>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</si>
  <si>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</si>
  <si>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</si>
  <si>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</si>
  <si>
    <t>https://www.byhand.ai/p/multihead-attention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</si>
</sst>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9">
    <xf numFmtId="0" fontId="0" fillId="0" borderId="0" xfId="0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0" borderId="0" xfId="1"/>
    <xf numFmtId="0" fontId="1" fillId="2" borderId="7" xfId="1" applyFill="1" applyBorder="1" applyAlignment="1">
      <alignment horizontal="center"/>
    </xf>
    <xf numFmtId="0" fontId="1" fillId="2" borderId="8" xfId="1" applyFill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1" fillId="0" borderId="0" xfId="1" applyAlignment="1">
      <alignment horizontal="center"/>
    </xf>
    <xf numFmtId="0" fontId="1" fillId="3" borderId="0" xfId="1" applyFill="1" applyAlignment="1">
      <alignment horizontal="center"/>
    </xf>
    <xf numFmtId="0" fontId="1" fillId="0" borderId="10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0" xfId="1" applyAlignment="1">
      <alignment horizontal="left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4" borderId="10" xfId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4" borderId="11" xfId="1" applyFill="1" applyBorder="1" applyAlignment="1">
      <alignment horizontal="center"/>
    </xf>
    <xf numFmtId="0" fontId="3" fillId="0" borderId="0" xfId="0" applyFont="1"/>
    <xf numFmtId="0" fontId="1" fillId="5" borderId="10" xfId="1" applyFill="1" applyBorder="1" applyAlignment="1">
      <alignment horizontal="center"/>
    </xf>
    <xf numFmtId="0" fontId="1" fillId="5" borderId="5" xfId="1" applyFill="1" applyBorder="1" applyAlignment="1">
      <alignment horizontal="center"/>
    </xf>
    <xf numFmtId="0" fontId="1" fillId="5" borderId="11" xfId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2" applyFont="1" applyAlignment="1">
      <alignment wrapText="1"/>
    </xf>
    <xf numFmtId="0" fontId="2" fillId="0" borderId="0" xfId="2" applyFont="1"/>
    <xf numFmtId="0" fontId="2" fillId="0" borderId="0" xfId="2" applyFont="1" applyAlignment="1">
      <alignment horizontal="left" wrapText="1"/>
    </xf>
  </cellXfs>
  <cellStyles count="3">
    <cellStyle name="Normal" xfId="0" builtinId="0"/>
    <cellStyle name="Normal 2" xfId="1" xr:uid="{F4FEA8BE-2796-3842-A6CD-67AC0706D80E}"/>
    <cellStyle name="Normal 2 2" xfId="2" xr:uid="{48A7B00B-3E0D-F242-AC63-9468B59B7E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145143</xdr:colOff>
      <xdr:row>11</xdr:row>
      <xdr:rowOff>22282</xdr:rowOff>
    </xdr:from>
    <xdr:to>
      <xdr:col>42</xdr:col>
      <xdr:colOff>64305</xdr:colOff>
      <xdr:row>97</xdr:row>
      <xdr:rowOff>178245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FAF7CB6-94CD-C748-A651-02C89B4ED207}"/>
            </a:ext>
          </a:extLst>
        </xdr:cNvPr>
        <xdr:cNvSpPr/>
      </xdr:nvSpPr>
      <xdr:spPr>
        <a:xfrm>
          <a:off x="145143" y="2217568"/>
          <a:ext cx="15159162" cy="17319106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 kern="1200"/>
            <a:t>Multi-head Self-Attention</a:t>
          </a:r>
        </a:p>
        <a:p>
          <a:pPr algn="l"/>
          <a:endParaRPr lang="en-US" sz="2000" b="1" kern="1200"/>
        </a:p>
      </xdr:txBody>
    </xdr:sp>
    <xdr:clientData/>
  </xdr:twoCellAnchor>
  <xdr:twoCellAnchor>
    <xdr:from>
      <xdr:col>2</xdr:col>
      <xdr:colOff>356492</xdr:colOff>
      <xdr:row>13</xdr:row>
      <xdr:rowOff>54810</xdr:rowOff>
    </xdr:from>
    <xdr:to>
      <xdr:col>41</xdr:col>
      <xdr:colOff>200526</xdr:colOff>
      <xdr:row>33</xdr:row>
      <xdr:rowOff>155965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0A1BFE8-8A20-494D-A5E5-B7B68044A1C5}"/>
            </a:ext>
          </a:extLst>
        </xdr:cNvPr>
        <xdr:cNvSpPr/>
      </xdr:nvSpPr>
      <xdr:spPr>
        <a:xfrm>
          <a:off x="3386667" y="2461126"/>
          <a:ext cx="14616140" cy="4111681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Head 0</a:t>
          </a:r>
        </a:p>
      </xdr:txBody>
    </xdr:sp>
    <xdr:clientData/>
  </xdr:twoCellAnchor>
  <xdr:twoCellAnchor>
    <xdr:from>
      <xdr:col>2</xdr:col>
      <xdr:colOff>352928</xdr:colOff>
      <xdr:row>34</xdr:row>
      <xdr:rowOff>73527</xdr:rowOff>
    </xdr:from>
    <xdr:to>
      <xdr:col>41</xdr:col>
      <xdr:colOff>196962</xdr:colOff>
      <xdr:row>54</xdr:row>
      <xdr:rowOff>174681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2B7E8FA-1BB6-8047-AAF5-DF6E0B24434F}"/>
            </a:ext>
          </a:extLst>
        </xdr:cNvPr>
        <xdr:cNvSpPr/>
      </xdr:nvSpPr>
      <xdr:spPr>
        <a:xfrm>
          <a:off x="3383103" y="6690895"/>
          <a:ext cx="14616140" cy="4111681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Head 1</a:t>
          </a:r>
        </a:p>
      </xdr:txBody>
    </xdr:sp>
    <xdr:clientData/>
  </xdr:twoCellAnchor>
  <xdr:twoCellAnchor>
    <xdr:from>
      <xdr:col>2</xdr:col>
      <xdr:colOff>352928</xdr:colOff>
      <xdr:row>55</xdr:row>
      <xdr:rowOff>73527</xdr:rowOff>
    </xdr:from>
    <xdr:to>
      <xdr:col>41</xdr:col>
      <xdr:colOff>196962</xdr:colOff>
      <xdr:row>75</xdr:row>
      <xdr:rowOff>174681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03CB347-987C-E049-93DD-294D5D49B151}"/>
            </a:ext>
          </a:extLst>
        </xdr:cNvPr>
        <xdr:cNvSpPr/>
      </xdr:nvSpPr>
      <xdr:spPr>
        <a:xfrm>
          <a:off x="3383103" y="6690895"/>
          <a:ext cx="14616140" cy="4111681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Head 2</a:t>
          </a:r>
        </a:p>
      </xdr:txBody>
    </xdr:sp>
    <xdr:clientData/>
  </xdr:twoCellAnchor>
  <xdr:twoCellAnchor>
    <xdr:from>
      <xdr:col>9</xdr:col>
      <xdr:colOff>245088</xdr:colOff>
      <xdr:row>77</xdr:row>
      <xdr:rowOff>22281</xdr:rowOff>
    </xdr:from>
    <xdr:to>
      <xdr:col>24</xdr:col>
      <xdr:colOff>133684</xdr:colOff>
      <xdr:row>88</xdr:row>
      <xdr:rowOff>178246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9DB584E-36A0-A240-B90D-830F0C6CC64A}"/>
            </a:ext>
          </a:extLst>
        </xdr:cNvPr>
        <xdr:cNvSpPr/>
      </xdr:nvSpPr>
      <xdr:spPr>
        <a:xfrm>
          <a:off x="5926667" y="15262281"/>
          <a:ext cx="5570175" cy="2361754"/>
        </a:xfrm>
        <a:prstGeom prst="rect">
          <a:avLst/>
        </a:prstGeom>
        <a:noFill/>
        <a:ln w="38100">
          <a:solidFill>
            <a:schemeClr val="accent4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Concat</a:t>
          </a:r>
        </a:p>
      </xdr:txBody>
    </xdr:sp>
    <xdr:clientData/>
  </xdr:twoCellAnchor>
  <xdr:twoCellAnchor>
    <xdr:from>
      <xdr:col>0</xdr:col>
      <xdr:colOff>235857</xdr:colOff>
      <xdr:row>89</xdr:row>
      <xdr:rowOff>67733</xdr:rowOff>
    </xdr:from>
    <xdr:to>
      <xdr:col>24</xdr:col>
      <xdr:colOff>111403</xdr:colOff>
      <xdr:row>97</xdr:row>
      <xdr:rowOff>44561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76F47FA-1BD8-C146-A5D7-5ADD73A59B0B}"/>
            </a:ext>
          </a:extLst>
        </xdr:cNvPr>
        <xdr:cNvSpPr/>
      </xdr:nvSpPr>
      <xdr:spPr>
        <a:xfrm>
          <a:off x="235857" y="17829590"/>
          <a:ext cx="8584117" cy="1573400"/>
        </a:xfrm>
        <a:prstGeom prst="rect">
          <a:avLst/>
        </a:prstGeom>
        <a:noFill/>
        <a:ln w="38100">
          <a:solidFill>
            <a:schemeClr val="bg2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Linear</a:t>
          </a:r>
        </a:p>
      </xdr:txBody>
    </xdr:sp>
    <xdr:clientData/>
  </xdr:twoCellAnchor>
  <xdr:oneCellAnchor>
    <xdr:from>
      <xdr:col>14</xdr:col>
      <xdr:colOff>289649</xdr:colOff>
      <xdr:row>0</xdr:row>
      <xdr:rowOff>178247</xdr:rowOff>
    </xdr:from>
    <xdr:ext cx="1521507" cy="40543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5DA4DC-E561-524F-DCA7-E62CF4D3F239}"/>
            </a:ext>
          </a:extLst>
        </xdr:cNvPr>
        <xdr:cNvSpPr txBox="1"/>
      </xdr:nvSpPr>
      <xdr:spPr>
        <a:xfrm>
          <a:off x="7865088" y="178247"/>
          <a:ext cx="1521507" cy="40543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kern="1200"/>
            <a:t>Input</a:t>
          </a:r>
          <a:r>
            <a:rPr lang="en-US" sz="2000" b="1" kern="1200" baseline="0"/>
            <a:t> Tokens</a:t>
          </a:r>
          <a:endParaRPr lang="en-US" sz="2000" b="1" kern="1200"/>
        </a:p>
      </xdr:txBody>
    </xdr:sp>
    <xdr:clientData/>
  </xdr:oneCellAnchor>
  <xdr:oneCellAnchor>
    <xdr:from>
      <xdr:col>14</xdr:col>
      <xdr:colOff>311929</xdr:colOff>
      <xdr:row>96</xdr:row>
      <xdr:rowOff>133683</xdr:rowOff>
    </xdr:from>
    <xdr:ext cx="1702197" cy="405432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ED06C0-85B9-6046-ACCC-4CE2BA3DA1AC}"/>
            </a:ext>
          </a:extLst>
        </xdr:cNvPr>
        <xdr:cNvSpPr txBox="1"/>
      </xdr:nvSpPr>
      <xdr:spPr>
        <a:xfrm>
          <a:off x="7887368" y="19384209"/>
          <a:ext cx="1702197" cy="40543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kern="1200"/>
            <a:t>Output</a:t>
          </a:r>
          <a:r>
            <a:rPr lang="en-US" sz="2000" b="1" kern="1200" baseline="0"/>
            <a:t> Tokens</a:t>
          </a:r>
          <a:endParaRPr lang="en-US" sz="2000" b="1" kern="1200"/>
        </a:p>
      </xdr:txBody>
    </xdr:sp>
    <xdr:clientData/>
  </xdr:oneCellAnchor>
  <xdr:twoCellAnchor>
    <xdr:from>
      <xdr:col>22</xdr:col>
      <xdr:colOff>30303</xdr:colOff>
      <xdr:row>55</xdr:row>
      <xdr:rowOff>171562</xdr:rowOff>
    </xdr:from>
    <xdr:to>
      <xdr:col>41</xdr:col>
      <xdr:colOff>101600</xdr:colOff>
      <xdr:row>75</xdr:row>
      <xdr:rowOff>101600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2BFCDF7-E6D7-CD45-9099-785C0FEEF1E6}"/>
            </a:ext>
          </a:extLst>
        </xdr:cNvPr>
        <xdr:cNvSpPr/>
      </xdr:nvSpPr>
      <xdr:spPr>
        <a:xfrm>
          <a:off x="10461236" y="11347562"/>
          <a:ext cx="7149431" cy="3994038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22</xdr:col>
      <xdr:colOff>13370</xdr:colOff>
      <xdr:row>34</xdr:row>
      <xdr:rowOff>171562</xdr:rowOff>
    </xdr:from>
    <xdr:to>
      <xdr:col>41</xdr:col>
      <xdr:colOff>84667</xdr:colOff>
      <xdr:row>54</xdr:row>
      <xdr:rowOff>101600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ECBBA1F-8C8B-244B-BDDD-18D40D11D464}"/>
            </a:ext>
          </a:extLst>
        </xdr:cNvPr>
        <xdr:cNvSpPr/>
      </xdr:nvSpPr>
      <xdr:spPr>
        <a:xfrm>
          <a:off x="10444303" y="7080362"/>
          <a:ext cx="7149431" cy="3994038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21</xdr:col>
      <xdr:colOff>368970</xdr:colOff>
      <xdr:row>13</xdr:row>
      <xdr:rowOff>171562</xdr:rowOff>
    </xdr:from>
    <xdr:to>
      <xdr:col>41</xdr:col>
      <xdr:colOff>67734</xdr:colOff>
      <xdr:row>33</xdr:row>
      <xdr:rowOff>101600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E12295B-AB64-0E49-9498-26BECA070F1B}"/>
            </a:ext>
          </a:extLst>
        </xdr:cNvPr>
        <xdr:cNvSpPr/>
      </xdr:nvSpPr>
      <xdr:spPr>
        <a:xfrm>
          <a:off x="10427370" y="2813162"/>
          <a:ext cx="7149431" cy="3994038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6</xdr:col>
      <xdr:colOff>114970</xdr:colOff>
      <xdr:row>13</xdr:row>
      <xdr:rowOff>188495</xdr:rowOff>
    </xdr:from>
    <xdr:to>
      <xdr:col>20</xdr:col>
      <xdr:colOff>101600</xdr:colOff>
      <xdr:row>27</xdr:row>
      <xdr:rowOff>101600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EAEFF73-79EE-7946-918F-73AFA8C659F6}"/>
            </a:ext>
          </a:extLst>
        </xdr:cNvPr>
        <xdr:cNvSpPr/>
      </xdr:nvSpPr>
      <xdr:spPr>
        <a:xfrm>
          <a:off x="4585370" y="2830095"/>
          <a:ext cx="5202097" cy="2757905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>
    <xdr:from>
      <xdr:col>6</xdr:col>
      <xdr:colOff>148837</xdr:colOff>
      <xdr:row>35</xdr:row>
      <xdr:rowOff>53028</xdr:rowOff>
    </xdr:from>
    <xdr:to>
      <xdr:col>20</xdr:col>
      <xdr:colOff>135467</xdr:colOff>
      <xdr:row>48</xdr:row>
      <xdr:rowOff>169333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E12CAD6-C24D-6049-A9E5-B1AE9590DB88}"/>
            </a:ext>
          </a:extLst>
        </xdr:cNvPr>
        <xdr:cNvSpPr/>
      </xdr:nvSpPr>
      <xdr:spPr>
        <a:xfrm>
          <a:off x="4619237" y="7165028"/>
          <a:ext cx="5202097" cy="2757905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>
    <xdr:from>
      <xdr:col>6</xdr:col>
      <xdr:colOff>131903</xdr:colOff>
      <xdr:row>56</xdr:row>
      <xdr:rowOff>19161</xdr:rowOff>
    </xdr:from>
    <xdr:to>
      <xdr:col>20</xdr:col>
      <xdr:colOff>118533</xdr:colOff>
      <xdr:row>69</xdr:row>
      <xdr:rowOff>135466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73F8288-DF9B-C843-B4D4-123B7B073C40}"/>
            </a:ext>
          </a:extLst>
        </xdr:cNvPr>
        <xdr:cNvSpPr/>
      </xdr:nvSpPr>
      <xdr:spPr>
        <a:xfrm>
          <a:off x="4602303" y="11398361"/>
          <a:ext cx="5202097" cy="2757905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 editAs="oneCell">
    <xdr:from>
      <xdr:col>42</xdr:col>
      <xdr:colOff>365574</xdr:colOff>
      <xdr:row>11</xdr:row>
      <xdr:rowOff>70798</xdr:rowOff>
    </xdr:from>
    <xdr:to>
      <xdr:col>52</xdr:col>
      <xdr:colOff>272599</xdr:colOff>
      <xdr:row>34</xdr:row>
      <xdr:rowOff>158023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8F3FDCB-044A-1393-0F72-89A4A19E5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94986" y="2262171"/>
          <a:ext cx="3642319" cy="4669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Relationship Id="rId1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U vs. LeakyReLU"/>
      <sheetName val="LICENSE"/>
    </sheetNames>
    <sheetDataSet>
      <sheetData sheetId="0">
        <row r="5">
          <cell r="H5">
            <v>0.5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6E5D-5A33-9649-AFD8-3816851BCF25}">
  <dimension ref="A1:AQ101"/>
  <sheetViews>
    <sheetView tabSelected="1" zoomScale="70" zoomScaleNormal="70" workbookViewId="0">
      <pane ySplit="1" topLeftCell="A2" activePane="bottomLeft" state="frozen"/>
      <selection pane="bottomLeft" activeCell="B105" sqref="B105"/>
    </sheetView>
  </sheetViews>
  <sheetFormatPr defaultColWidth="11" defaultRowHeight="15.75" x14ac:dyDescent="0.25"/>
  <cols>
    <col min="1" max="55" width="4.875" customWidth="1"/>
  </cols>
  <sheetData>
    <row r="1" spans="1:43" x14ac:dyDescent="0.25">
      <c r="A1" s="35" t="s">
        <v>17</v>
      </c>
    </row>
    <row r="4" spans="1:43" x14ac:dyDescent="0.25">
      <c r="N4" s="11" t="s">
        <v>1</v>
      </c>
      <c r="O4" s="11">
        <v>0</v>
      </c>
      <c r="P4" s="11">
        <v>1</v>
      </c>
      <c r="Q4" s="11">
        <v>2</v>
      </c>
      <c r="R4" s="11">
        <v>3</v>
      </c>
      <c r="S4" s="11">
        <v>4</v>
      </c>
      <c r="T4" s="11">
        <v>5</v>
      </c>
    </row>
    <row r="6" spans="1:43" x14ac:dyDescent="0.25">
      <c r="O6" s="1">
        <v>3</v>
      </c>
      <c r="P6" s="2">
        <v>3</v>
      </c>
      <c r="Q6" s="2">
        <v>0</v>
      </c>
      <c r="R6" s="2">
        <v>3</v>
      </c>
      <c r="S6" s="2">
        <v>0</v>
      </c>
      <c r="T6" s="3">
        <v>2</v>
      </c>
    </row>
    <row r="7" spans="1:43" x14ac:dyDescent="0.25">
      <c r="O7" s="4">
        <v>2</v>
      </c>
      <c r="P7" s="5">
        <v>0</v>
      </c>
      <c r="Q7" s="5">
        <v>3</v>
      </c>
      <c r="R7" s="5">
        <v>2</v>
      </c>
      <c r="S7" s="5">
        <v>3</v>
      </c>
      <c r="T7" s="6">
        <v>1</v>
      </c>
    </row>
    <row r="8" spans="1:43" x14ac:dyDescent="0.25">
      <c r="N8" s="7"/>
      <c r="O8" s="4">
        <v>1</v>
      </c>
      <c r="P8" s="5">
        <v>0</v>
      </c>
      <c r="Q8" s="5">
        <v>1</v>
      </c>
      <c r="R8" s="5">
        <v>1</v>
      </c>
      <c r="S8" s="5">
        <v>1</v>
      </c>
      <c r="T8" s="6">
        <v>3</v>
      </c>
    </row>
    <row r="9" spans="1:43" x14ac:dyDescent="0.25">
      <c r="N9" s="7"/>
      <c r="O9" s="4">
        <v>3</v>
      </c>
      <c r="P9" s="5">
        <v>1</v>
      </c>
      <c r="Q9" s="5">
        <v>2</v>
      </c>
      <c r="R9" s="5">
        <v>3</v>
      </c>
      <c r="S9" s="5">
        <v>1</v>
      </c>
      <c r="T9" s="6">
        <v>1</v>
      </c>
      <c r="U9" s="7"/>
    </row>
    <row r="10" spans="1:43" x14ac:dyDescent="0.25">
      <c r="M10" s="7"/>
      <c r="N10" s="7"/>
      <c r="O10" s="8">
        <v>2</v>
      </c>
      <c r="P10" s="9">
        <v>3</v>
      </c>
      <c r="Q10" s="9">
        <v>2</v>
      </c>
      <c r="R10" s="9">
        <v>2</v>
      </c>
      <c r="S10" s="9">
        <v>1</v>
      </c>
      <c r="T10" s="10">
        <v>2</v>
      </c>
      <c r="U10" s="7"/>
    </row>
    <row r="11" spans="1:43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O11" s="11" t="s">
        <v>9</v>
      </c>
      <c r="P11" s="11" t="s">
        <v>9</v>
      </c>
      <c r="Q11" s="11" t="s">
        <v>9</v>
      </c>
      <c r="R11" s="11" t="s">
        <v>9</v>
      </c>
      <c r="S11" s="11" t="s">
        <v>9</v>
      </c>
      <c r="T11" s="11" t="s">
        <v>9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3" x14ac:dyDescent="0.25">
      <c r="B15" s="7"/>
      <c r="C15" s="7"/>
      <c r="D15" s="7"/>
      <c r="E15" s="7"/>
      <c r="F15" s="7"/>
      <c r="G15" s="7"/>
      <c r="H15" s="11"/>
      <c r="I15" s="11"/>
      <c r="J15" s="11"/>
      <c r="K15" s="11"/>
      <c r="L15" s="11"/>
      <c r="M15" s="11"/>
      <c r="N15" s="11"/>
      <c r="O15" s="7"/>
      <c r="P15" s="11"/>
      <c r="Q15" s="11"/>
      <c r="R15" s="11"/>
      <c r="S15" s="11"/>
      <c r="T15" s="11"/>
      <c r="W15" s="7"/>
      <c r="X15" s="11"/>
      <c r="Y15" s="11"/>
      <c r="Z15" s="7"/>
      <c r="AA15" s="11" t="s">
        <v>1</v>
      </c>
      <c r="AB15" s="11">
        <v>0</v>
      </c>
      <c r="AC15" s="11">
        <v>1</v>
      </c>
      <c r="AD15" s="11">
        <v>2</v>
      </c>
      <c r="AE15" s="11">
        <v>3</v>
      </c>
      <c r="AF15" s="11">
        <v>4</v>
      </c>
      <c r="AG15" s="11">
        <v>5</v>
      </c>
      <c r="AJ15" s="7"/>
      <c r="AK15" s="7"/>
      <c r="AL15" s="7"/>
      <c r="AM15" s="7"/>
      <c r="AN15" s="7"/>
      <c r="AO15" s="7"/>
      <c r="AP15" s="7"/>
      <c r="AQ15" s="7"/>
    </row>
    <row r="16" spans="1:43" x14ac:dyDescent="0.25">
      <c r="B16" s="7"/>
      <c r="C16" s="7"/>
      <c r="G16" s="7"/>
      <c r="I16" s="11"/>
      <c r="J16" s="11"/>
      <c r="K16" s="11"/>
      <c r="L16" s="11" t="s">
        <v>2</v>
      </c>
      <c r="M16" s="11"/>
      <c r="N16" s="7"/>
      <c r="O16" s="11" t="s">
        <v>3</v>
      </c>
      <c r="P16" s="11"/>
      <c r="Q16" s="11"/>
      <c r="R16" s="11"/>
      <c r="S16" s="11"/>
      <c r="T16" s="11"/>
      <c r="W16" s="11"/>
      <c r="X16" s="11"/>
      <c r="Y16" s="11"/>
      <c r="Z16" s="7"/>
      <c r="AA16" s="7"/>
      <c r="AB16" s="11" t="s">
        <v>4</v>
      </c>
      <c r="AC16" s="11"/>
      <c r="AD16" s="11"/>
      <c r="AE16" s="11"/>
      <c r="AF16" s="11"/>
      <c r="AG16" s="11"/>
      <c r="AJ16" s="7"/>
      <c r="AK16" s="7"/>
      <c r="AL16" s="7"/>
      <c r="AM16" s="7"/>
      <c r="AN16" s="7"/>
      <c r="AO16" s="7"/>
      <c r="AP16" s="7"/>
      <c r="AQ16" s="7"/>
    </row>
    <row r="17" spans="2:43" x14ac:dyDescent="0.25">
      <c r="B17" s="7"/>
      <c r="G17" s="7"/>
      <c r="H17" s="12">
        <v>1</v>
      </c>
      <c r="I17" s="12">
        <v>-1</v>
      </c>
      <c r="J17" s="12">
        <v>1</v>
      </c>
      <c r="K17" s="12">
        <v>0</v>
      </c>
      <c r="L17" s="12">
        <v>0</v>
      </c>
      <c r="M17" s="11" t="s">
        <v>5</v>
      </c>
      <c r="N17" s="7"/>
      <c r="O17" s="13" cm="1">
        <f t="array" ref="O17:T19">MMULT(H17:L19,O6:T10)</f>
        <v>2</v>
      </c>
      <c r="P17" s="13">
        <v>3</v>
      </c>
      <c r="Q17" s="13">
        <v>-2</v>
      </c>
      <c r="R17" s="13">
        <v>2</v>
      </c>
      <c r="S17" s="13">
        <v>-2</v>
      </c>
      <c r="T17" s="13">
        <v>4</v>
      </c>
      <c r="W17" s="11"/>
      <c r="X17" s="11"/>
      <c r="Y17" s="11"/>
      <c r="Z17" s="7"/>
      <c r="AA17" s="11"/>
      <c r="AB17" s="13" cm="1">
        <f t="array" ref="AB17:AG19">O17:T19</f>
        <v>2</v>
      </c>
      <c r="AC17" s="13">
        <v>3</v>
      </c>
      <c r="AD17" s="13">
        <v>-2</v>
      </c>
      <c r="AE17" s="13">
        <v>2</v>
      </c>
      <c r="AF17" s="13">
        <v>-2</v>
      </c>
      <c r="AG17" s="13">
        <v>4</v>
      </c>
      <c r="AJ17" s="7"/>
      <c r="AK17" s="7"/>
      <c r="AL17" s="7"/>
      <c r="AM17" s="7"/>
      <c r="AN17" s="7"/>
      <c r="AO17" s="7"/>
      <c r="AP17" s="7"/>
      <c r="AQ17" s="7"/>
    </row>
    <row r="18" spans="2:43" x14ac:dyDescent="0.25">
      <c r="B18" s="7"/>
      <c r="G18" s="7"/>
      <c r="H18" s="12">
        <v>0</v>
      </c>
      <c r="I18" s="12">
        <v>0</v>
      </c>
      <c r="J18" s="12">
        <v>-1</v>
      </c>
      <c r="K18" s="12">
        <v>0</v>
      </c>
      <c r="L18" s="12">
        <v>0</v>
      </c>
      <c r="M18" s="11" t="s">
        <v>5</v>
      </c>
      <c r="N18" s="7"/>
      <c r="O18" s="14">
        <v>-1</v>
      </c>
      <c r="P18" s="14">
        <v>0</v>
      </c>
      <c r="Q18" s="14">
        <v>-1</v>
      </c>
      <c r="R18" s="14">
        <v>-1</v>
      </c>
      <c r="S18" s="14">
        <v>-1</v>
      </c>
      <c r="T18" s="14">
        <v>-3</v>
      </c>
      <c r="W18" s="11"/>
      <c r="X18" s="11"/>
      <c r="Y18" s="11"/>
      <c r="Z18" s="7"/>
      <c r="AA18" s="11"/>
      <c r="AB18" s="14">
        <v>-1</v>
      </c>
      <c r="AC18" s="14">
        <v>0</v>
      </c>
      <c r="AD18" s="14">
        <v>-1</v>
      </c>
      <c r="AE18" s="14">
        <v>-1</v>
      </c>
      <c r="AF18" s="14">
        <v>-1</v>
      </c>
      <c r="AG18" s="14">
        <v>-3</v>
      </c>
      <c r="AJ18" s="7"/>
      <c r="AK18" s="7"/>
      <c r="AL18" s="7"/>
      <c r="AM18" s="7"/>
      <c r="AN18" s="7"/>
      <c r="AO18" s="7"/>
      <c r="AP18" s="7"/>
      <c r="AQ18" s="7"/>
    </row>
    <row r="19" spans="2:43" x14ac:dyDescent="0.25">
      <c r="B19" s="7"/>
      <c r="G19" s="7"/>
      <c r="H19" s="12">
        <v>1</v>
      </c>
      <c r="I19" s="12">
        <v>-1</v>
      </c>
      <c r="J19" s="12">
        <v>1</v>
      </c>
      <c r="K19" s="12">
        <v>0</v>
      </c>
      <c r="L19" s="12">
        <v>1</v>
      </c>
      <c r="M19" s="11" t="s">
        <v>5</v>
      </c>
      <c r="N19" s="7"/>
      <c r="O19" s="15">
        <v>4</v>
      </c>
      <c r="P19" s="15">
        <v>6</v>
      </c>
      <c r="Q19" s="15">
        <v>0</v>
      </c>
      <c r="R19" s="15">
        <v>4</v>
      </c>
      <c r="S19" s="15">
        <v>-1</v>
      </c>
      <c r="T19" s="15">
        <v>6</v>
      </c>
      <c r="W19" s="11"/>
      <c r="X19" s="11"/>
      <c r="Y19" s="11"/>
      <c r="Z19" s="7"/>
      <c r="AA19" s="11"/>
      <c r="AB19" s="15">
        <v>4</v>
      </c>
      <c r="AC19" s="15">
        <v>6</v>
      </c>
      <c r="AD19" s="15">
        <v>0</v>
      </c>
      <c r="AE19" s="15">
        <v>4</v>
      </c>
      <c r="AF19" s="15">
        <v>-1</v>
      </c>
      <c r="AG19" s="15">
        <v>6</v>
      </c>
      <c r="AJ19" s="7"/>
      <c r="AK19" s="7"/>
      <c r="AL19" s="7"/>
      <c r="AM19" s="7"/>
      <c r="AN19" s="7"/>
      <c r="AO19" s="7"/>
      <c r="AP19" s="7"/>
      <c r="AQ19" s="7"/>
    </row>
    <row r="20" spans="2:43" x14ac:dyDescent="0.25">
      <c r="I20" s="11"/>
      <c r="J20" s="11"/>
      <c r="K20" s="11"/>
      <c r="L20" s="11" t="s">
        <v>10</v>
      </c>
      <c r="M20" s="11"/>
      <c r="N20" s="7"/>
      <c r="O20" s="11" t="s">
        <v>11</v>
      </c>
      <c r="P20" s="11"/>
      <c r="Q20" s="11"/>
      <c r="R20" s="11"/>
      <c r="S20" s="11"/>
      <c r="T20" s="11"/>
      <c r="W20" s="11"/>
      <c r="X20" s="11"/>
      <c r="Y20" s="11"/>
      <c r="Z20" s="7"/>
      <c r="AA20" s="11"/>
      <c r="AB20" s="11"/>
      <c r="AC20" s="11"/>
      <c r="AD20" s="11"/>
      <c r="AE20" s="11"/>
      <c r="AF20" s="7"/>
      <c r="AG20" s="7"/>
      <c r="AJ20" s="7"/>
      <c r="AK20" s="7"/>
      <c r="AL20" s="7"/>
      <c r="AM20" s="7"/>
      <c r="AN20" s="7"/>
      <c r="AO20" s="7"/>
      <c r="AP20" s="7"/>
      <c r="AQ20" s="7"/>
    </row>
    <row r="21" spans="2:43" x14ac:dyDescent="0.25">
      <c r="H21" s="12">
        <v>1</v>
      </c>
      <c r="I21" s="12">
        <v>0</v>
      </c>
      <c r="J21" s="12">
        <v>0</v>
      </c>
      <c r="K21" s="12">
        <v>0</v>
      </c>
      <c r="L21" s="12">
        <v>0</v>
      </c>
      <c r="M21" s="11" t="s">
        <v>5</v>
      </c>
      <c r="N21" s="7"/>
      <c r="O21" s="13" cm="1">
        <f t="array" ref="O21:T23">MMULT(H21:L23,O6:T10)</f>
        <v>3</v>
      </c>
      <c r="P21" s="13">
        <v>3</v>
      </c>
      <c r="Q21" s="13">
        <v>0</v>
      </c>
      <c r="R21" s="13">
        <v>3</v>
      </c>
      <c r="S21" s="13">
        <v>0</v>
      </c>
      <c r="T21" s="13">
        <v>2</v>
      </c>
      <c r="W21" s="16"/>
      <c r="X21" s="11"/>
      <c r="Y21" s="11"/>
      <c r="Z21" s="7"/>
      <c r="AA21" s="11"/>
      <c r="AB21" s="16" t="s">
        <v>6</v>
      </c>
      <c r="AC21" s="11"/>
      <c r="AD21" s="11"/>
      <c r="AE21" s="11"/>
      <c r="AF21" s="7"/>
      <c r="AG21" s="7"/>
      <c r="AI21" s="11" t="s">
        <v>7</v>
      </c>
      <c r="AJ21" s="7"/>
      <c r="AK21" s="7"/>
      <c r="AL21" s="7"/>
      <c r="AM21" s="7"/>
      <c r="AN21" s="7"/>
      <c r="AO21" s="7"/>
      <c r="AP21" s="7"/>
      <c r="AQ21" s="7"/>
    </row>
    <row r="22" spans="2:43" x14ac:dyDescent="0.25">
      <c r="H22" s="12">
        <v>0</v>
      </c>
      <c r="I22" s="12">
        <v>1</v>
      </c>
      <c r="J22" s="12">
        <v>0</v>
      </c>
      <c r="K22" s="12">
        <v>1</v>
      </c>
      <c r="L22" s="12">
        <v>1</v>
      </c>
      <c r="M22" s="11" t="s">
        <v>5</v>
      </c>
      <c r="N22" s="7"/>
      <c r="O22" s="14">
        <v>7</v>
      </c>
      <c r="P22" s="14">
        <v>4</v>
      </c>
      <c r="Q22" s="14">
        <v>7</v>
      </c>
      <c r="R22" s="14">
        <v>7</v>
      </c>
      <c r="S22" s="14">
        <v>5</v>
      </c>
      <c r="T22" s="14">
        <v>4</v>
      </c>
      <c r="W22" s="7"/>
      <c r="X22" s="11" t="s">
        <v>8</v>
      </c>
      <c r="Y22" s="11"/>
      <c r="Z22" s="7"/>
      <c r="AA22" s="11"/>
      <c r="AB22" s="11" t="s">
        <v>9</v>
      </c>
      <c r="AC22" s="11" t="s">
        <v>9</v>
      </c>
      <c r="AD22" s="11" t="s">
        <v>9</v>
      </c>
      <c r="AE22" s="11" t="s">
        <v>9</v>
      </c>
      <c r="AF22" s="11" t="s">
        <v>9</v>
      </c>
      <c r="AG22" s="11" t="s">
        <v>9</v>
      </c>
      <c r="AI22" s="11"/>
      <c r="AJ22" s="11">
        <v>0</v>
      </c>
      <c r="AK22" s="11">
        <v>1</v>
      </c>
      <c r="AL22" s="11">
        <v>2</v>
      </c>
      <c r="AM22" s="11">
        <v>3</v>
      </c>
      <c r="AN22" s="11">
        <v>4</v>
      </c>
      <c r="AO22" s="11">
        <v>5</v>
      </c>
      <c r="AP22" s="7"/>
      <c r="AQ22" s="7"/>
    </row>
    <row r="23" spans="2:43" x14ac:dyDescent="0.25">
      <c r="B23" s="7"/>
      <c r="H23" s="12">
        <v>0</v>
      </c>
      <c r="I23" s="12">
        <v>0</v>
      </c>
      <c r="J23" s="12">
        <v>0</v>
      </c>
      <c r="K23" s="12">
        <v>1</v>
      </c>
      <c r="L23" s="12">
        <v>0</v>
      </c>
      <c r="M23" s="11" t="s">
        <v>5</v>
      </c>
      <c r="O23" s="15">
        <v>3</v>
      </c>
      <c r="P23" s="15">
        <v>1</v>
      </c>
      <c r="Q23" s="15">
        <v>2</v>
      </c>
      <c r="R23" s="15">
        <v>3</v>
      </c>
      <c r="S23" s="15">
        <v>1</v>
      </c>
      <c r="T23" s="15">
        <v>1</v>
      </c>
      <c r="W23" s="11">
        <v>0</v>
      </c>
      <c r="X23" s="17" cm="1">
        <f t="array" ref="X23:Z28">TRANSPOSE(O21:T23)</f>
        <v>3</v>
      </c>
      <c r="Y23" s="18">
        <v>7</v>
      </c>
      <c r="Z23" s="19">
        <v>3</v>
      </c>
      <c r="AA23" s="11" t="s">
        <v>5</v>
      </c>
      <c r="AB23" s="20" cm="1">
        <f t="array" ref="AB23:AG28">MMULT(_xlfn.ANCHORARRAY(X23),_xlfn.ANCHORARRAY(AB17)) / SQRT(3)</f>
        <v>6.3508529610858835</v>
      </c>
      <c r="AC23" s="21">
        <v>15.588457268119896</v>
      </c>
      <c r="AD23" s="21">
        <v>-7.5055534994651349</v>
      </c>
      <c r="AE23" s="21">
        <v>6.3508529610858835</v>
      </c>
      <c r="AF23" s="21">
        <v>-9.2376043070340135</v>
      </c>
      <c r="AG23" s="22">
        <v>5.196152422706632</v>
      </c>
      <c r="AI23" s="11">
        <v>0</v>
      </c>
      <c r="AJ23" s="20" cm="1">
        <f t="array" ref="AJ23:AJ28">SOFTMAX(AB23:AB28)</f>
        <v>0.48136686524750316</v>
      </c>
      <c r="AK23" s="21" cm="1">
        <f t="array" ref="AK23:AK28">SOFTMAX(AC23:AC28)</f>
        <v>0.4996672550942271</v>
      </c>
      <c r="AL23" s="21" cm="1">
        <f t="array" ref="AL23:AL28">SOFTMAX(AD23:AD28)</f>
        <v>6.2929707549846383E-3</v>
      </c>
      <c r="AM23" s="21" cm="1">
        <f t="array" ref="AM23:AM28">SOFTMAX(AE23:AE28)</f>
        <v>0.48136686524750316</v>
      </c>
      <c r="AN23" s="21" cm="1">
        <f t="array" ref="AN23:AN28">SOFTMAX(AF23:AF28)</f>
        <v>2.1957984106326491E-3</v>
      </c>
      <c r="AO23" s="22" cm="1">
        <f t="array" ref="AO23:AO28">SOFTMAX(AG23:AG28)</f>
        <v>0.45567335319535085</v>
      </c>
      <c r="AP23" s="7"/>
      <c r="AQ23" s="7"/>
    </row>
    <row r="24" spans="2:43" x14ac:dyDescent="0.25">
      <c r="B24" s="7"/>
      <c r="G24" s="7"/>
      <c r="I24" s="11"/>
      <c r="J24" s="11"/>
      <c r="K24" s="11"/>
      <c r="L24" s="16" t="s">
        <v>14</v>
      </c>
      <c r="M24" s="11"/>
      <c r="N24" s="7"/>
      <c r="O24" s="11" t="s">
        <v>12</v>
      </c>
      <c r="P24" s="11"/>
      <c r="Q24" s="11"/>
      <c r="R24" s="11"/>
      <c r="S24" s="11"/>
      <c r="T24" s="11"/>
      <c r="W24" s="11">
        <v>1</v>
      </c>
      <c r="X24" s="17">
        <v>3</v>
      </c>
      <c r="Y24" s="18">
        <v>4</v>
      </c>
      <c r="Z24" s="19">
        <v>1</v>
      </c>
      <c r="AA24" s="11" t="s">
        <v>5</v>
      </c>
      <c r="AB24" s="23">
        <v>3.4641016151377548</v>
      </c>
      <c r="AC24" s="14">
        <v>8.6602540378443873</v>
      </c>
      <c r="AD24" s="14">
        <v>-5.7735026918962582</v>
      </c>
      <c r="AE24" s="14">
        <v>3.4641016151377548</v>
      </c>
      <c r="AF24" s="14">
        <v>-6.3508529610858835</v>
      </c>
      <c r="AG24" s="24">
        <v>3.4641016151377548</v>
      </c>
      <c r="AI24" s="11">
        <v>1</v>
      </c>
      <c r="AJ24" s="23">
        <v>2.6839598341015403E-2</v>
      </c>
      <c r="AK24" s="14">
        <v>4.8955383514020384E-4</v>
      </c>
      <c r="AL24" s="14">
        <v>3.5569341211035894E-2</v>
      </c>
      <c r="AM24" s="14">
        <v>2.6839598341015403E-2</v>
      </c>
      <c r="AN24" s="14">
        <v>3.9381535603177781E-2</v>
      </c>
      <c r="AO24" s="24">
        <v>8.0618279334182114E-2</v>
      </c>
      <c r="AP24" s="7"/>
      <c r="AQ24" s="7"/>
    </row>
    <row r="25" spans="2:43" x14ac:dyDescent="0.25">
      <c r="B25" s="7"/>
      <c r="G25" s="7"/>
      <c r="H25" s="12">
        <v>0</v>
      </c>
      <c r="I25" s="12">
        <v>1</v>
      </c>
      <c r="J25" s="12">
        <v>0</v>
      </c>
      <c r="K25" s="12">
        <v>0</v>
      </c>
      <c r="L25" s="12">
        <v>0</v>
      </c>
      <c r="M25" s="11" t="s">
        <v>5</v>
      </c>
      <c r="N25" s="7"/>
      <c r="O25" s="13" cm="1">
        <f t="array" ref="O25:T27">MMULT(H25:L27,O6:T10)</f>
        <v>2</v>
      </c>
      <c r="P25" s="13">
        <v>0</v>
      </c>
      <c r="Q25" s="13">
        <v>3</v>
      </c>
      <c r="R25" s="13">
        <v>2</v>
      </c>
      <c r="S25" s="13">
        <v>3</v>
      </c>
      <c r="T25" s="13">
        <v>1</v>
      </c>
      <c r="W25" s="11">
        <v>2</v>
      </c>
      <c r="X25" s="17">
        <v>0</v>
      </c>
      <c r="Y25" s="18">
        <v>7</v>
      </c>
      <c r="Z25" s="19">
        <v>2</v>
      </c>
      <c r="AA25" s="11" t="s">
        <v>5</v>
      </c>
      <c r="AB25" s="23">
        <v>0.57735026918962584</v>
      </c>
      <c r="AC25" s="14">
        <v>6.9282032302755097</v>
      </c>
      <c r="AD25" s="14">
        <v>-4.0414518843273806</v>
      </c>
      <c r="AE25" s="14">
        <v>0.57735026918962584</v>
      </c>
      <c r="AF25" s="14">
        <v>-5.196152422706632</v>
      </c>
      <c r="AG25" s="24">
        <v>-5.196152422706632</v>
      </c>
      <c r="AI25" s="11">
        <v>2</v>
      </c>
      <c r="AJ25" s="23">
        <v>1.4964969363577799E-3</v>
      </c>
      <c r="AK25" s="14">
        <v>8.6612455070492699E-5</v>
      </c>
      <c r="AL25" s="14">
        <v>0.20104622815622575</v>
      </c>
      <c r="AM25" s="14">
        <v>1.4964969363577799E-3</v>
      </c>
      <c r="AN25" s="14">
        <v>0.124960489748277</v>
      </c>
      <c r="AO25" s="24">
        <v>1.3974394010220879E-5</v>
      </c>
      <c r="AP25" s="7"/>
      <c r="AQ25" s="7"/>
    </row>
    <row r="26" spans="2:43" x14ac:dyDescent="0.25">
      <c r="B26" s="7"/>
      <c r="G26" s="7"/>
      <c r="H26" s="12">
        <v>1</v>
      </c>
      <c r="I26" s="12">
        <v>0</v>
      </c>
      <c r="J26" s="12">
        <v>0</v>
      </c>
      <c r="K26" s="12">
        <v>0</v>
      </c>
      <c r="L26" s="12">
        <v>0</v>
      </c>
      <c r="M26" s="11" t="s">
        <v>5</v>
      </c>
      <c r="N26" s="7"/>
      <c r="O26" s="14">
        <v>3</v>
      </c>
      <c r="P26" s="14">
        <v>3</v>
      </c>
      <c r="Q26" s="14">
        <v>0</v>
      </c>
      <c r="R26" s="14">
        <v>3</v>
      </c>
      <c r="S26" s="14">
        <v>0</v>
      </c>
      <c r="T26" s="14">
        <v>2</v>
      </c>
      <c r="W26" s="11">
        <v>3</v>
      </c>
      <c r="X26" s="17">
        <v>3</v>
      </c>
      <c r="Y26" s="18">
        <v>7</v>
      </c>
      <c r="Z26" s="19">
        <v>3</v>
      </c>
      <c r="AA26" s="11" t="s">
        <v>5</v>
      </c>
      <c r="AB26" s="23">
        <v>6.3508529610858835</v>
      </c>
      <c r="AC26" s="14">
        <v>15.588457268119896</v>
      </c>
      <c r="AD26" s="14">
        <v>-7.5055534994651349</v>
      </c>
      <c r="AE26" s="14">
        <v>6.3508529610858835</v>
      </c>
      <c r="AF26" s="14">
        <v>-9.2376043070340135</v>
      </c>
      <c r="AG26" s="24">
        <v>5.196152422706632</v>
      </c>
      <c r="AI26" s="11">
        <v>3</v>
      </c>
      <c r="AJ26" s="23">
        <v>0.48136686524750316</v>
      </c>
      <c r="AK26" s="14">
        <v>0.4996672550942271</v>
      </c>
      <c r="AL26" s="14">
        <v>6.2929707549846383E-3</v>
      </c>
      <c r="AM26" s="14">
        <v>0.48136686524750316</v>
      </c>
      <c r="AN26" s="14">
        <v>2.1957984106326491E-3</v>
      </c>
      <c r="AO26" s="24">
        <v>0.45567335319535085</v>
      </c>
      <c r="AP26" s="7"/>
      <c r="AQ26" s="7"/>
    </row>
    <row r="27" spans="2:43" x14ac:dyDescent="0.25">
      <c r="B27" s="7"/>
      <c r="G27" s="7"/>
      <c r="H27" s="12">
        <v>0</v>
      </c>
      <c r="I27" s="12">
        <v>0</v>
      </c>
      <c r="J27" s="12">
        <v>0</v>
      </c>
      <c r="K27" s="12">
        <v>1</v>
      </c>
      <c r="L27" s="12">
        <v>-1</v>
      </c>
      <c r="M27" s="11" t="s">
        <v>5</v>
      </c>
      <c r="N27" s="7"/>
      <c r="O27" s="15">
        <v>1</v>
      </c>
      <c r="P27" s="15">
        <v>-2</v>
      </c>
      <c r="Q27" s="15">
        <v>0</v>
      </c>
      <c r="R27" s="15">
        <v>1</v>
      </c>
      <c r="S27" s="15">
        <v>0</v>
      </c>
      <c r="T27" s="15">
        <v>-1</v>
      </c>
      <c r="W27" s="11">
        <v>4</v>
      </c>
      <c r="X27" s="17">
        <v>0</v>
      </c>
      <c r="Y27" s="18">
        <v>5</v>
      </c>
      <c r="Z27" s="19">
        <v>1</v>
      </c>
      <c r="AA27" s="11" t="s">
        <v>5</v>
      </c>
      <c r="AB27" s="23">
        <v>-0.57735026918962584</v>
      </c>
      <c r="AC27" s="14">
        <v>3.4641016151377548</v>
      </c>
      <c r="AD27" s="14">
        <v>-2.8867513459481291</v>
      </c>
      <c r="AE27" s="14">
        <v>-0.57735026918962584</v>
      </c>
      <c r="AF27" s="14">
        <v>-3.4641016151377548</v>
      </c>
      <c r="AG27" s="24">
        <v>-5.196152422706632</v>
      </c>
      <c r="AI27" s="11">
        <v>4</v>
      </c>
      <c r="AJ27" s="23">
        <v>4.7162385085028829E-4</v>
      </c>
      <c r="AK27" s="14">
        <v>2.7110662645831532E-6</v>
      </c>
      <c r="AL27" s="14">
        <v>0.63793437070591497</v>
      </c>
      <c r="AM27" s="14">
        <v>4.7162385085028829E-4</v>
      </c>
      <c r="AN27" s="14">
        <v>0.70630588807900307</v>
      </c>
      <c r="AO27" s="24">
        <v>1.3974394010220879E-5</v>
      </c>
      <c r="AP27" s="7"/>
      <c r="AQ27" s="7"/>
    </row>
    <row r="28" spans="2:43" x14ac:dyDescent="0.25">
      <c r="B28" s="7"/>
      <c r="D28" s="7"/>
      <c r="K28" s="7"/>
      <c r="L28" s="7"/>
      <c r="M28" s="7"/>
      <c r="N28" s="7"/>
      <c r="W28" s="11">
        <v>5</v>
      </c>
      <c r="X28" s="17">
        <v>2</v>
      </c>
      <c r="Y28" s="18">
        <v>4</v>
      </c>
      <c r="Z28" s="19">
        <v>1</v>
      </c>
      <c r="AA28" s="11" t="s">
        <v>5</v>
      </c>
      <c r="AB28" s="25">
        <v>2.3094010767585034</v>
      </c>
      <c r="AC28" s="26">
        <v>6.9282032302755097</v>
      </c>
      <c r="AD28" s="26">
        <v>-4.6188021535170067</v>
      </c>
      <c r="AE28" s="26">
        <v>2.3094010767585034</v>
      </c>
      <c r="AF28" s="26">
        <v>-5.196152422706632</v>
      </c>
      <c r="AG28" s="27">
        <v>1.1547005383792517</v>
      </c>
      <c r="AI28" s="11">
        <v>5</v>
      </c>
      <c r="AJ28" s="25">
        <v>8.4585503767702994E-3</v>
      </c>
      <c r="AK28" s="26">
        <v>8.6612455070492699E-5</v>
      </c>
      <c r="AL28" s="26">
        <v>0.11286411841685422</v>
      </c>
      <c r="AM28" s="26">
        <v>8.4585503767702994E-3</v>
      </c>
      <c r="AN28" s="26">
        <v>0.124960489748277</v>
      </c>
      <c r="AO28" s="27">
        <v>8.0070654870956805E-3</v>
      </c>
      <c r="AP28" s="7"/>
      <c r="AQ28" s="7"/>
    </row>
    <row r="29" spans="2:43" x14ac:dyDescent="0.25">
      <c r="K29" s="7"/>
      <c r="L29" s="7"/>
      <c r="M29" s="7"/>
      <c r="N29" s="7"/>
      <c r="AP29" s="7"/>
      <c r="AQ29" s="7"/>
    </row>
    <row r="30" spans="2:43" x14ac:dyDescent="0.25">
      <c r="K30" s="7"/>
      <c r="L30" s="7"/>
      <c r="M30" s="7"/>
      <c r="N30" s="7"/>
      <c r="AB30" s="11" t="s">
        <v>12</v>
      </c>
      <c r="AC30" s="11"/>
      <c r="AD30" s="11"/>
      <c r="AE30" s="7"/>
      <c r="AF30" s="11"/>
      <c r="AG30" s="11"/>
      <c r="AI30" s="11" t="s">
        <v>13</v>
      </c>
      <c r="AJ30" s="11" t="s">
        <v>9</v>
      </c>
      <c r="AK30" s="11" t="s">
        <v>9</v>
      </c>
      <c r="AL30" s="11" t="s">
        <v>9</v>
      </c>
      <c r="AM30" s="11" t="s">
        <v>9</v>
      </c>
      <c r="AN30" s="11" t="s">
        <v>9</v>
      </c>
      <c r="AO30" s="11" t="s">
        <v>9</v>
      </c>
      <c r="AP30" s="7"/>
      <c r="AQ30" s="7"/>
    </row>
    <row r="31" spans="2:43" x14ac:dyDescent="0.25">
      <c r="K31" s="7"/>
      <c r="L31" s="7"/>
      <c r="M31" s="7"/>
      <c r="N31" s="7"/>
      <c r="W31" s="11"/>
      <c r="X31" s="11"/>
      <c r="Y31" s="11"/>
      <c r="Z31" s="11"/>
      <c r="AA31" s="11"/>
      <c r="AB31" s="13" cm="1">
        <f t="array" ref="AB31:AG33">O25:T27</f>
        <v>2</v>
      </c>
      <c r="AC31" s="13">
        <v>0</v>
      </c>
      <c r="AD31" s="13">
        <v>3</v>
      </c>
      <c r="AE31" s="13">
        <v>2</v>
      </c>
      <c r="AF31" s="13">
        <v>3</v>
      </c>
      <c r="AG31" s="13">
        <v>1</v>
      </c>
      <c r="AI31" s="11" t="s">
        <v>5</v>
      </c>
      <c r="AJ31" s="28" cm="1">
        <f t="array" ref="AJ31:AO33">MMULT(_xlfn.ANCHORARRAY(AB31),AJ23:AO28)</f>
        <v>1.9398303737284071</v>
      </c>
      <c r="AK31" s="28">
        <v>1.9990236033959841</v>
      </c>
      <c r="AL31" s="28">
        <v>2.6549777980232152</v>
      </c>
      <c r="AM31" s="28">
        <v>1.9398303737284071</v>
      </c>
      <c r="AN31" s="28">
        <v>2.6275428168726478</v>
      </c>
      <c r="AO31" s="28">
        <v>1.8307843246325604</v>
      </c>
      <c r="AP31" s="7"/>
      <c r="AQ31" s="7"/>
    </row>
    <row r="32" spans="2:43" x14ac:dyDescent="0.25">
      <c r="B32" s="7"/>
      <c r="K32" s="7"/>
      <c r="W32" s="11"/>
      <c r="X32" s="11"/>
      <c r="Y32" s="11"/>
      <c r="Z32" s="7"/>
      <c r="AA32" s="7"/>
      <c r="AB32" s="14">
        <v>3</v>
      </c>
      <c r="AC32" s="14">
        <v>3</v>
      </c>
      <c r="AD32" s="14">
        <v>0</v>
      </c>
      <c r="AE32" s="14">
        <v>3</v>
      </c>
      <c r="AF32" s="14">
        <v>0</v>
      </c>
      <c r="AG32" s="14">
        <v>2</v>
      </c>
      <c r="AI32" s="11" t="s">
        <v>5</v>
      </c>
      <c r="AJ32" s="29">
        <v>2.9856370872616056</v>
      </c>
      <c r="AK32" s="29">
        <v>2.9996454169809241</v>
      </c>
      <c r="AL32" s="29">
        <v>0.37019408499672396</v>
      </c>
      <c r="AM32" s="29">
        <v>2.9856370872616056</v>
      </c>
      <c r="AN32" s="29">
        <v>0.3812403767698832</v>
      </c>
      <c r="AO32" s="29">
        <v>2.991909088148843</v>
      </c>
      <c r="AP32" s="7"/>
      <c r="AQ32" s="7"/>
    </row>
    <row r="33" spans="2:43" x14ac:dyDescent="0.25">
      <c r="B33" s="7"/>
      <c r="K33" s="7"/>
      <c r="W33" s="11"/>
      <c r="X33" s="7"/>
      <c r="Y33" s="7"/>
      <c r="Z33" s="7"/>
      <c r="AA33" s="7"/>
      <c r="AB33" s="15">
        <v>1</v>
      </c>
      <c r="AC33" s="15">
        <v>-2</v>
      </c>
      <c r="AD33" s="15">
        <v>0</v>
      </c>
      <c r="AE33" s="15">
        <v>1</v>
      </c>
      <c r="AF33" s="15">
        <v>0</v>
      </c>
      <c r="AG33" s="15">
        <v>-1</v>
      </c>
      <c r="AI33" s="11" t="s">
        <v>5</v>
      </c>
      <c r="AJ33" s="30">
        <v>0.90059598343620517</v>
      </c>
      <c r="AK33" s="30">
        <v>0.99826879006310332</v>
      </c>
      <c r="AL33" s="30">
        <v>-0.17141685932895673</v>
      </c>
      <c r="AM33" s="30">
        <v>0.90059598343620517</v>
      </c>
      <c r="AN33" s="30">
        <v>-0.19933196413336726</v>
      </c>
      <c r="AO33" s="30">
        <v>0.7421030822352418</v>
      </c>
      <c r="AP33" s="7"/>
      <c r="AQ33" s="7"/>
    </row>
    <row r="34" spans="2:43" x14ac:dyDescent="0.25">
      <c r="B34" s="7"/>
      <c r="D34" s="7"/>
      <c r="K34" s="7"/>
      <c r="L34" s="7"/>
      <c r="M34" s="7"/>
      <c r="N34" s="7"/>
      <c r="W34" s="11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spans="2:43" x14ac:dyDescent="0.25">
      <c r="B35" s="7"/>
      <c r="D35" s="7"/>
      <c r="K35" s="7"/>
      <c r="L35" s="7"/>
      <c r="M35" s="7"/>
      <c r="N35" s="7"/>
      <c r="W35" s="11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spans="2:43" x14ac:dyDescent="0.25">
      <c r="B36" s="7"/>
      <c r="D36" s="7"/>
      <c r="K36" s="7"/>
      <c r="L36" s="7"/>
      <c r="M36" s="7"/>
      <c r="N36" s="7"/>
      <c r="W36" s="7"/>
      <c r="X36" s="7"/>
      <c r="Y36" s="7"/>
      <c r="Z36" s="7"/>
      <c r="AA36" s="11" t="s">
        <v>1</v>
      </c>
      <c r="AB36" s="11">
        <v>0</v>
      </c>
      <c r="AC36" s="11">
        <v>1</v>
      </c>
      <c r="AD36" s="11">
        <v>2</v>
      </c>
      <c r="AE36" s="11">
        <v>3</v>
      </c>
      <c r="AF36" s="11">
        <v>4</v>
      </c>
      <c r="AG36" s="11">
        <v>5</v>
      </c>
      <c r="AI36" s="7"/>
      <c r="AJ36" s="7"/>
      <c r="AK36" s="7"/>
      <c r="AL36" s="7"/>
      <c r="AM36" s="7"/>
      <c r="AN36" s="7"/>
      <c r="AO36" s="7"/>
      <c r="AP36" s="7"/>
      <c r="AQ36" s="7"/>
    </row>
    <row r="37" spans="2:43" x14ac:dyDescent="0.25">
      <c r="D37" s="7"/>
      <c r="I37" s="11"/>
      <c r="J37" s="11"/>
      <c r="K37" s="11"/>
      <c r="L37" s="11" t="s">
        <v>2</v>
      </c>
      <c r="M37" s="11"/>
      <c r="N37" s="7"/>
      <c r="O37" s="11" t="s">
        <v>3</v>
      </c>
      <c r="P37" s="11"/>
      <c r="Q37" s="11"/>
      <c r="R37" s="11"/>
      <c r="S37" s="11"/>
      <c r="T37" s="11"/>
      <c r="W37" s="11"/>
      <c r="X37" s="7"/>
      <c r="Y37" s="11"/>
      <c r="Z37" s="7"/>
      <c r="AA37" s="7"/>
      <c r="AB37" s="11" t="s">
        <v>4</v>
      </c>
      <c r="AC37" s="7"/>
      <c r="AD37" s="7"/>
      <c r="AE37" s="7"/>
      <c r="AF37" s="7"/>
      <c r="AG37" s="7"/>
      <c r="AI37" s="7"/>
      <c r="AJ37" s="7"/>
      <c r="AK37" s="7"/>
      <c r="AL37" s="7"/>
      <c r="AM37" s="7"/>
      <c r="AN37" s="7"/>
      <c r="AO37" s="7"/>
      <c r="AP37" s="7"/>
      <c r="AQ37" s="7"/>
    </row>
    <row r="38" spans="2:43" x14ac:dyDescent="0.25">
      <c r="D38" s="7"/>
      <c r="H38" s="12">
        <v>1</v>
      </c>
      <c r="I38" s="12">
        <v>-1</v>
      </c>
      <c r="J38" s="12">
        <v>0</v>
      </c>
      <c r="K38" s="12">
        <v>1</v>
      </c>
      <c r="L38" s="12">
        <v>1</v>
      </c>
      <c r="M38" s="11" t="s">
        <v>5</v>
      </c>
      <c r="N38" s="7"/>
      <c r="O38" s="13" cm="1">
        <f t="array" ref="O38:T40">MMULT(H38:L40,O6:T10)</f>
        <v>6</v>
      </c>
      <c r="P38" s="13">
        <v>7</v>
      </c>
      <c r="Q38" s="13">
        <v>1</v>
      </c>
      <c r="R38" s="13">
        <v>6</v>
      </c>
      <c r="S38" s="13">
        <v>-1</v>
      </c>
      <c r="T38" s="13">
        <v>4</v>
      </c>
      <c r="W38" s="11"/>
      <c r="X38" s="11"/>
      <c r="Y38" s="11"/>
      <c r="Z38" s="7"/>
      <c r="AA38" s="11"/>
      <c r="AB38" s="13" cm="1">
        <f t="array" ref="AB38:AG40">_xlfn.ANCHORARRAY(O38)</f>
        <v>6</v>
      </c>
      <c r="AC38" s="13">
        <v>7</v>
      </c>
      <c r="AD38" s="13">
        <v>1</v>
      </c>
      <c r="AE38" s="13">
        <v>6</v>
      </c>
      <c r="AF38" s="13">
        <v>-1</v>
      </c>
      <c r="AG38" s="13">
        <v>4</v>
      </c>
      <c r="AI38" s="7"/>
      <c r="AJ38" s="7"/>
      <c r="AK38" s="7"/>
      <c r="AL38" s="7"/>
      <c r="AM38" s="7"/>
      <c r="AN38" s="7"/>
      <c r="AO38" s="7"/>
      <c r="AP38" s="7"/>
      <c r="AQ38" s="7"/>
    </row>
    <row r="39" spans="2:43" x14ac:dyDescent="0.25">
      <c r="H39" s="12">
        <v>0</v>
      </c>
      <c r="I39" s="12">
        <v>1</v>
      </c>
      <c r="J39" s="12">
        <v>-1</v>
      </c>
      <c r="K39" s="12">
        <v>1</v>
      </c>
      <c r="L39" s="12">
        <v>-1</v>
      </c>
      <c r="M39" s="11" t="s">
        <v>5</v>
      </c>
      <c r="N39" s="7"/>
      <c r="O39" s="14">
        <v>2</v>
      </c>
      <c r="P39" s="14">
        <v>-2</v>
      </c>
      <c r="Q39" s="14">
        <v>2</v>
      </c>
      <c r="R39" s="14">
        <v>2</v>
      </c>
      <c r="S39" s="14">
        <v>2</v>
      </c>
      <c r="T39" s="14">
        <v>-3</v>
      </c>
      <c r="W39" s="11"/>
      <c r="X39" s="11"/>
      <c r="Y39" s="11"/>
      <c r="Z39" s="7"/>
      <c r="AA39" s="11"/>
      <c r="AB39" s="14">
        <v>2</v>
      </c>
      <c r="AC39" s="14">
        <v>-2</v>
      </c>
      <c r="AD39" s="14">
        <v>2</v>
      </c>
      <c r="AE39" s="14">
        <v>2</v>
      </c>
      <c r="AF39" s="14">
        <v>2</v>
      </c>
      <c r="AG39" s="14">
        <v>-3</v>
      </c>
      <c r="AI39" s="7"/>
      <c r="AJ39" s="7"/>
      <c r="AK39" s="7"/>
      <c r="AL39" s="7"/>
      <c r="AM39" s="7"/>
      <c r="AN39" s="7"/>
      <c r="AO39" s="7"/>
      <c r="AP39" s="7"/>
      <c r="AQ39" s="7"/>
    </row>
    <row r="40" spans="2:43" x14ac:dyDescent="0.25">
      <c r="H40" s="12">
        <v>1</v>
      </c>
      <c r="I40" s="12">
        <v>1</v>
      </c>
      <c r="J40" s="12">
        <v>0</v>
      </c>
      <c r="K40" s="12">
        <v>0</v>
      </c>
      <c r="L40" s="12">
        <v>0</v>
      </c>
      <c r="M40" s="11" t="s">
        <v>5</v>
      </c>
      <c r="N40" s="7"/>
      <c r="O40" s="15">
        <v>5</v>
      </c>
      <c r="P40" s="15">
        <v>3</v>
      </c>
      <c r="Q40" s="15">
        <v>3</v>
      </c>
      <c r="R40" s="15">
        <v>5</v>
      </c>
      <c r="S40" s="15">
        <v>3</v>
      </c>
      <c r="T40" s="15">
        <v>3</v>
      </c>
      <c r="W40" s="11"/>
      <c r="X40" s="11"/>
      <c r="Y40" s="11"/>
      <c r="Z40" s="7"/>
      <c r="AA40" s="11"/>
      <c r="AB40" s="15">
        <v>5</v>
      </c>
      <c r="AC40" s="15">
        <v>3</v>
      </c>
      <c r="AD40" s="15">
        <v>3</v>
      </c>
      <c r="AE40" s="15">
        <v>5</v>
      </c>
      <c r="AF40" s="15">
        <v>3</v>
      </c>
      <c r="AG40" s="15">
        <v>3</v>
      </c>
      <c r="AI40" s="7"/>
      <c r="AJ40" s="7"/>
      <c r="AK40" s="7"/>
      <c r="AL40" s="7"/>
      <c r="AM40" s="7"/>
      <c r="AN40" s="7"/>
      <c r="AO40" s="7"/>
      <c r="AP40" s="7"/>
      <c r="AQ40" s="7"/>
    </row>
    <row r="41" spans="2:43" x14ac:dyDescent="0.25">
      <c r="I41" s="11"/>
      <c r="J41" s="11"/>
      <c r="K41" s="11"/>
      <c r="L41" s="11" t="s">
        <v>10</v>
      </c>
      <c r="M41" s="11"/>
      <c r="N41" s="7"/>
      <c r="O41" s="11" t="s">
        <v>11</v>
      </c>
      <c r="P41" s="11"/>
      <c r="Q41" s="11"/>
      <c r="R41" s="11"/>
      <c r="S41" s="11"/>
      <c r="T41" s="11"/>
      <c r="W41" s="11"/>
      <c r="X41" s="11"/>
      <c r="Y41" s="11"/>
      <c r="Z41" s="7"/>
      <c r="AA41" s="11"/>
      <c r="AB41" s="11"/>
      <c r="AC41" s="11"/>
      <c r="AD41" s="11"/>
      <c r="AE41" s="11"/>
      <c r="AF41" s="7"/>
      <c r="AG41" s="7"/>
      <c r="AI41" s="7"/>
      <c r="AJ41" s="7"/>
      <c r="AK41" s="7"/>
      <c r="AL41" s="7"/>
      <c r="AM41" s="7"/>
      <c r="AN41" s="7"/>
      <c r="AO41" s="7"/>
      <c r="AP41" s="7"/>
      <c r="AQ41" s="7"/>
    </row>
    <row r="42" spans="2:43" x14ac:dyDescent="0.25">
      <c r="B42" s="7"/>
      <c r="H42" s="12">
        <v>1</v>
      </c>
      <c r="I42" s="12">
        <v>0</v>
      </c>
      <c r="J42" s="12">
        <v>1</v>
      </c>
      <c r="K42" s="12">
        <v>-1</v>
      </c>
      <c r="L42" s="12">
        <v>1</v>
      </c>
      <c r="M42" s="11" t="s">
        <v>5</v>
      </c>
      <c r="N42" s="7"/>
      <c r="O42" s="13" cm="1">
        <f t="array" ref="O42:T44">MMULT(H42:L44,O6:T10)</f>
        <v>3</v>
      </c>
      <c r="P42" s="13">
        <v>5</v>
      </c>
      <c r="Q42" s="13">
        <v>1</v>
      </c>
      <c r="R42" s="13">
        <v>3</v>
      </c>
      <c r="S42" s="13">
        <v>1</v>
      </c>
      <c r="T42" s="13">
        <v>6</v>
      </c>
      <c r="W42" s="11"/>
      <c r="X42" s="11"/>
      <c r="Y42" s="11"/>
      <c r="Z42" s="7"/>
      <c r="AA42" s="11"/>
      <c r="AB42" s="16" t="s">
        <v>6</v>
      </c>
      <c r="AC42" s="11"/>
      <c r="AD42" s="11"/>
      <c r="AE42" s="11"/>
      <c r="AF42" s="7"/>
      <c r="AG42" s="7"/>
      <c r="AI42" s="11" t="s">
        <v>7</v>
      </c>
      <c r="AJ42" s="11"/>
      <c r="AK42" s="11"/>
      <c r="AL42" s="11"/>
      <c r="AM42" s="11"/>
      <c r="AN42" s="11"/>
      <c r="AO42" s="11"/>
      <c r="AP42" s="7"/>
      <c r="AQ42" s="7"/>
    </row>
    <row r="43" spans="2:43" x14ac:dyDescent="0.25">
      <c r="B43" s="7"/>
      <c r="H43" s="12">
        <v>1</v>
      </c>
      <c r="I43" s="12">
        <v>0</v>
      </c>
      <c r="J43" s="12">
        <v>0</v>
      </c>
      <c r="K43" s="12">
        <v>1</v>
      </c>
      <c r="L43" s="12">
        <v>0</v>
      </c>
      <c r="M43" s="11" t="s">
        <v>5</v>
      </c>
      <c r="N43" s="7"/>
      <c r="O43" s="14">
        <v>6</v>
      </c>
      <c r="P43" s="14">
        <v>4</v>
      </c>
      <c r="Q43" s="14">
        <v>2</v>
      </c>
      <c r="R43" s="14">
        <v>6</v>
      </c>
      <c r="S43" s="14">
        <v>1</v>
      </c>
      <c r="T43" s="14">
        <v>3</v>
      </c>
      <c r="W43" s="11"/>
      <c r="X43" s="11" t="s">
        <v>8</v>
      </c>
      <c r="Y43" s="11"/>
      <c r="Z43" s="7"/>
      <c r="AA43" s="11"/>
      <c r="AB43" s="11" t="s">
        <v>9</v>
      </c>
      <c r="AC43" s="11" t="s">
        <v>9</v>
      </c>
      <c r="AD43" s="11" t="s">
        <v>9</v>
      </c>
      <c r="AE43" s="11" t="s">
        <v>9</v>
      </c>
      <c r="AF43" s="11" t="s">
        <v>9</v>
      </c>
      <c r="AG43" s="11" t="s">
        <v>9</v>
      </c>
      <c r="AI43" s="11"/>
      <c r="AJ43" s="11">
        <v>0</v>
      </c>
      <c r="AK43" s="11">
        <v>1</v>
      </c>
      <c r="AL43" s="11">
        <v>2</v>
      </c>
      <c r="AM43" s="11">
        <v>3</v>
      </c>
      <c r="AN43" s="11">
        <v>4</v>
      </c>
      <c r="AO43" s="11">
        <v>5</v>
      </c>
      <c r="AP43" s="7"/>
      <c r="AQ43" s="7"/>
    </row>
    <row r="44" spans="2:43" x14ac:dyDescent="0.25">
      <c r="B44" s="7"/>
      <c r="H44" s="12">
        <v>1</v>
      </c>
      <c r="I44" s="12">
        <v>1</v>
      </c>
      <c r="J44" s="12">
        <v>0</v>
      </c>
      <c r="K44" s="12">
        <v>1</v>
      </c>
      <c r="L44" s="12">
        <v>1</v>
      </c>
      <c r="M44" s="11" t="s">
        <v>5</v>
      </c>
      <c r="O44" s="15">
        <v>10</v>
      </c>
      <c r="P44" s="15">
        <v>7</v>
      </c>
      <c r="Q44" s="15">
        <v>7</v>
      </c>
      <c r="R44" s="15">
        <v>10</v>
      </c>
      <c r="S44" s="15">
        <v>5</v>
      </c>
      <c r="T44" s="15">
        <v>6</v>
      </c>
      <c r="W44" s="11">
        <v>0</v>
      </c>
      <c r="X44" s="17" cm="1">
        <f t="array" ref="X44:Z49">TRANSPOSE(_xlfn.ANCHORARRAY(O42))</f>
        <v>3</v>
      </c>
      <c r="Y44" s="18">
        <v>6</v>
      </c>
      <c r="Z44" s="19">
        <v>10</v>
      </c>
      <c r="AA44" s="11" t="s">
        <v>5</v>
      </c>
      <c r="AB44" s="20" cm="1">
        <f t="array" ref="AB44:AG49">MMULT(_xlfn.ANCHORARRAY(X44),_xlfn.ANCHORARRAY(AB38)) / SQRT(3)</f>
        <v>46.188021535170066</v>
      </c>
      <c r="AC44" s="21">
        <v>22.516660498395407</v>
      </c>
      <c r="AD44" s="21">
        <v>25.98076211353316</v>
      </c>
      <c r="AE44" s="21">
        <v>46.188021535170066</v>
      </c>
      <c r="AF44" s="21">
        <v>22.516660498395407</v>
      </c>
      <c r="AG44" s="22">
        <v>13.856406460551019</v>
      </c>
      <c r="AI44" s="11">
        <v>0</v>
      </c>
      <c r="AJ44" s="20" cm="1">
        <f t="array" ref="AJ44:AJ49">SOFTMAX(AB44:AB49)</f>
        <v>0.49323368506207277</v>
      </c>
      <c r="AK44" s="21" cm="1">
        <f t="array" ref="AK44:AK49">SOFTMAX(AC44:AC49)</f>
        <v>1.6802271261343561E-4</v>
      </c>
      <c r="AL44" s="21" cm="1">
        <f t="array" ref="AL44:AL49">SOFTMAX(AD44:AD49)</f>
        <v>0.49951647199074972</v>
      </c>
      <c r="AM44" s="21" cm="1">
        <f t="array" ref="AM44:AM49">SOFTMAX(AE44:AE49)</f>
        <v>0.49323368506207277</v>
      </c>
      <c r="AN44" s="21" cm="1">
        <f t="array" ref="AN44:AN49">SOFTMAX(AF44:AF49)</f>
        <v>0.49991156159315719</v>
      </c>
      <c r="AO44" s="22" cm="1">
        <f t="array" ref="AO44:AO49">SOFTMAX(AG44:AG49)</f>
        <v>4.9856240769581917E-3</v>
      </c>
      <c r="AP44" s="7"/>
      <c r="AQ44" s="7"/>
    </row>
    <row r="45" spans="2:43" x14ac:dyDescent="0.25">
      <c r="B45" s="7"/>
      <c r="I45" s="11"/>
      <c r="J45" s="11"/>
      <c r="K45" s="11"/>
      <c r="L45" s="16" t="s">
        <v>14</v>
      </c>
      <c r="M45" s="11"/>
      <c r="N45" s="7"/>
      <c r="O45" s="11" t="s">
        <v>12</v>
      </c>
      <c r="P45" s="11"/>
      <c r="Q45" s="11"/>
      <c r="R45" s="11"/>
      <c r="S45" s="11"/>
      <c r="T45" s="11"/>
      <c r="W45" s="11">
        <v>1</v>
      </c>
      <c r="X45" s="17">
        <v>5</v>
      </c>
      <c r="Y45" s="18">
        <v>4</v>
      </c>
      <c r="Z45" s="19">
        <v>7</v>
      </c>
      <c r="AA45" s="11" t="s">
        <v>5</v>
      </c>
      <c r="AB45" s="23">
        <v>42.146569650842686</v>
      </c>
      <c r="AC45" s="14">
        <v>27.712812921102039</v>
      </c>
      <c r="AD45" s="14">
        <v>19.629909152447276</v>
      </c>
      <c r="AE45" s="14">
        <v>42.146569650842686</v>
      </c>
      <c r="AF45" s="14">
        <v>13.856406460551019</v>
      </c>
      <c r="AG45" s="24">
        <v>16.743157806499148</v>
      </c>
      <c r="AI45" s="11">
        <v>1</v>
      </c>
      <c r="AJ45" s="23">
        <v>8.6670734398647756E-3</v>
      </c>
      <c r="AK45" s="14">
        <v>3.0340890012592586E-2</v>
      </c>
      <c r="AL45" s="14">
        <v>8.7178505102074972E-4</v>
      </c>
      <c r="AM45" s="14">
        <v>8.6670734398647756E-3</v>
      </c>
      <c r="AN45" s="14">
        <v>8.6654803224081391E-5</v>
      </c>
      <c r="AO45" s="24">
        <v>8.9416920578888504E-2</v>
      </c>
      <c r="AP45" s="7"/>
      <c r="AQ45" s="7"/>
    </row>
    <row r="46" spans="2:43" x14ac:dyDescent="0.25">
      <c r="B46" s="7"/>
      <c r="H46" s="12">
        <v>1</v>
      </c>
      <c r="I46" s="12">
        <v>0</v>
      </c>
      <c r="J46" s="12">
        <v>-1</v>
      </c>
      <c r="K46" s="12">
        <v>0</v>
      </c>
      <c r="L46" s="12">
        <v>-1</v>
      </c>
      <c r="M46" s="11" t="s">
        <v>5</v>
      </c>
      <c r="N46" s="7"/>
      <c r="O46" s="13" cm="1">
        <f t="array" ref="O46:T48">MMULT(H46:L48,O6:T10)</f>
        <v>0</v>
      </c>
      <c r="P46" s="13">
        <v>0</v>
      </c>
      <c r="Q46" s="13">
        <v>-3</v>
      </c>
      <c r="R46" s="13">
        <v>0</v>
      </c>
      <c r="S46" s="13">
        <v>-2</v>
      </c>
      <c r="T46" s="13">
        <v>-3</v>
      </c>
      <c r="W46" s="11">
        <v>2</v>
      </c>
      <c r="X46" s="17">
        <v>1</v>
      </c>
      <c r="Y46" s="18">
        <v>2</v>
      </c>
      <c r="Z46" s="19">
        <v>7</v>
      </c>
      <c r="AA46" s="11" t="s">
        <v>5</v>
      </c>
      <c r="AB46" s="23">
        <v>25.98076211353316</v>
      </c>
      <c r="AC46" s="14">
        <v>13.856406460551019</v>
      </c>
      <c r="AD46" s="14">
        <v>15.01110699893027</v>
      </c>
      <c r="AE46" s="14">
        <v>25.98076211353316</v>
      </c>
      <c r="AF46" s="14">
        <v>13.856406460551019</v>
      </c>
      <c r="AG46" s="24">
        <v>10.96965511460289</v>
      </c>
      <c r="AI46" s="11">
        <v>2</v>
      </c>
      <c r="AJ46" s="23">
        <v>8.2632609459477038E-10</v>
      </c>
      <c r="AK46" s="14">
        <v>2.9125101752583549E-8</v>
      </c>
      <c r="AL46" s="14">
        <v>8.5998154083399366E-6</v>
      </c>
      <c r="AM46" s="14">
        <v>8.2632609459477038E-10</v>
      </c>
      <c r="AN46" s="14">
        <v>8.6654803224081391E-5</v>
      </c>
      <c r="AO46" s="24">
        <v>2.779837113135148E-4</v>
      </c>
      <c r="AP46" s="7"/>
      <c r="AQ46" s="7"/>
    </row>
    <row r="47" spans="2:43" x14ac:dyDescent="0.25">
      <c r="B47" s="7"/>
      <c r="H47" s="12">
        <v>0</v>
      </c>
      <c r="I47" s="12">
        <v>1</v>
      </c>
      <c r="J47" s="12">
        <v>0</v>
      </c>
      <c r="K47" s="12">
        <v>0</v>
      </c>
      <c r="L47" s="12">
        <v>0</v>
      </c>
      <c r="M47" s="11" t="s">
        <v>5</v>
      </c>
      <c r="N47" s="7"/>
      <c r="O47" s="14">
        <v>2</v>
      </c>
      <c r="P47" s="14">
        <v>0</v>
      </c>
      <c r="Q47" s="14">
        <v>3</v>
      </c>
      <c r="R47" s="14">
        <v>2</v>
      </c>
      <c r="S47" s="14">
        <v>3</v>
      </c>
      <c r="T47" s="14">
        <v>1</v>
      </c>
      <c r="W47" s="11">
        <v>3</v>
      </c>
      <c r="X47" s="17">
        <v>3</v>
      </c>
      <c r="Y47" s="18">
        <v>6</v>
      </c>
      <c r="Z47" s="19">
        <v>10</v>
      </c>
      <c r="AA47" s="11" t="s">
        <v>5</v>
      </c>
      <c r="AB47" s="23">
        <v>46.188021535170066</v>
      </c>
      <c r="AC47" s="14">
        <v>22.516660498395407</v>
      </c>
      <c r="AD47" s="14">
        <v>25.98076211353316</v>
      </c>
      <c r="AE47" s="14">
        <v>46.188021535170066</v>
      </c>
      <c r="AF47" s="14">
        <v>22.516660498395407</v>
      </c>
      <c r="AG47" s="24">
        <v>13.856406460551019</v>
      </c>
      <c r="AI47" s="11">
        <v>3</v>
      </c>
      <c r="AJ47" s="23">
        <v>0.49323368506207277</v>
      </c>
      <c r="AK47" s="14">
        <v>1.6802271261343561E-4</v>
      </c>
      <c r="AL47" s="14">
        <v>0.49951647199074972</v>
      </c>
      <c r="AM47" s="14">
        <v>0.49323368506207277</v>
      </c>
      <c r="AN47" s="14">
        <v>0.49991156159315719</v>
      </c>
      <c r="AO47" s="24">
        <v>4.9856240769581917E-3</v>
      </c>
      <c r="AP47" s="7"/>
      <c r="AQ47" s="7"/>
    </row>
    <row r="48" spans="2:43" x14ac:dyDescent="0.25">
      <c r="B48" s="7"/>
      <c r="H48" s="12">
        <v>0</v>
      </c>
      <c r="I48" s="12">
        <v>1</v>
      </c>
      <c r="J48" s="12">
        <v>1</v>
      </c>
      <c r="K48" s="12">
        <v>0</v>
      </c>
      <c r="L48" s="12">
        <v>0</v>
      </c>
      <c r="M48" s="11" t="s">
        <v>5</v>
      </c>
      <c r="N48" s="7"/>
      <c r="O48" s="15">
        <v>3</v>
      </c>
      <c r="P48" s="15">
        <v>0</v>
      </c>
      <c r="Q48" s="15">
        <v>4</v>
      </c>
      <c r="R48" s="15">
        <v>3</v>
      </c>
      <c r="S48" s="15">
        <v>4</v>
      </c>
      <c r="T48" s="15">
        <v>4</v>
      </c>
      <c r="W48" s="11">
        <v>4</v>
      </c>
      <c r="X48" s="17">
        <v>1</v>
      </c>
      <c r="Y48" s="18">
        <v>1</v>
      </c>
      <c r="Z48" s="19">
        <v>5</v>
      </c>
      <c r="AA48" s="11" t="s">
        <v>5</v>
      </c>
      <c r="AB48" s="23">
        <v>19.05255888325765</v>
      </c>
      <c r="AC48" s="14">
        <v>11.547005383792516</v>
      </c>
      <c r="AD48" s="14">
        <v>10.392304845413264</v>
      </c>
      <c r="AE48" s="14">
        <v>19.05255888325765</v>
      </c>
      <c r="AF48" s="14">
        <v>9.2376043070340135</v>
      </c>
      <c r="AG48" s="24">
        <v>9.2376043070340135</v>
      </c>
      <c r="AI48" s="11">
        <v>4</v>
      </c>
      <c r="AJ48" s="23">
        <v>8.0960099858656853E-13</v>
      </c>
      <c r="AK48" s="14">
        <v>2.8927260539084989E-9</v>
      </c>
      <c r="AL48" s="14">
        <v>8.4833784395507729E-8</v>
      </c>
      <c r="AM48" s="14">
        <v>8.0960099858656853E-13</v>
      </c>
      <c r="AN48" s="14">
        <v>8.5481542852858944E-7</v>
      </c>
      <c r="AO48" s="24">
        <v>4.9181213542276183E-5</v>
      </c>
      <c r="AP48" s="7"/>
      <c r="AQ48" s="7"/>
    </row>
    <row r="49" spans="2:43" x14ac:dyDescent="0.25">
      <c r="B49" s="7"/>
      <c r="W49" s="11">
        <v>5</v>
      </c>
      <c r="X49" s="17">
        <v>6</v>
      </c>
      <c r="Y49" s="18">
        <v>3</v>
      </c>
      <c r="Z49" s="19">
        <v>6</v>
      </c>
      <c r="AA49" s="11" t="s">
        <v>5</v>
      </c>
      <c r="AB49" s="25">
        <v>41.569219381653056</v>
      </c>
      <c r="AC49" s="26">
        <v>31.176914536239792</v>
      </c>
      <c r="AD49" s="26">
        <v>17.320508075688775</v>
      </c>
      <c r="AE49" s="26">
        <v>41.569219381653056</v>
      </c>
      <c r="AF49" s="26">
        <v>10.392304845413264</v>
      </c>
      <c r="AG49" s="27">
        <v>19.05255888325765</v>
      </c>
      <c r="AI49" s="11">
        <v>5</v>
      </c>
      <c r="AJ49" s="25">
        <v>4.8655556088540077E-3</v>
      </c>
      <c r="AK49" s="26">
        <v>0.9693230325443527</v>
      </c>
      <c r="AL49" s="26">
        <v>8.6586318287179125E-5</v>
      </c>
      <c r="AM49" s="26">
        <v>4.8655556088540077E-3</v>
      </c>
      <c r="AN49" s="26">
        <v>2.7123918089343455E-6</v>
      </c>
      <c r="AO49" s="27">
        <v>0.90028466634233939</v>
      </c>
      <c r="AP49" s="7"/>
      <c r="AQ49" s="7"/>
    </row>
    <row r="50" spans="2:43" x14ac:dyDescent="0.25">
      <c r="B50" s="7"/>
      <c r="AP50" s="7"/>
      <c r="AQ50" s="7"/>
    </row>
    <row r="51" spans="2:43" x14ac:dyDescent="0.25">
      <c r="B51" s="7"/>
      <c r="AB51" s="11" t="s">
        <v>12</v>
      </c>
      <c r="AC51" s="11"/>
      <c r="AD51" s="11"/>
      <c r="AE51" s="7"/>
      <c r="AF51" s="11"/>
      <c r="AG51" s="11"/>
      <c r="AI51" s="11" t="s">
        <v>13</v>
      </c>
      <c r="AJ51" s="11" t="s">
        <v>9</v>
      </c>
      <c r="AK51" s="11" t="s">
        <v>9</v>
      </c>
      <c r="AL51" s="11" t="s">
        <v>9</v>
      </c>
      <c r="AM51" s="11" t="s">
        <v>9</v>
      </c>
      <c r="AN51" s="11" t="s">
        <v>9</v>
      </c>
      <c r="AO51" s="11" t="s">
        <v>9</v>
      </c>
      <c r="AP51" s="7"/>
      <c r="AQ51" s="7"/>
    </row>
    <row r="52" spans="2:43" x14ac:dyDescent="0.25">
      <c r="W52" s="7"/>
      <c r="X52" s="7"/>
      <c r="Y52" s="7"/>
      <c r="Z52" s="7"/>
      <c r="AA52" s="7"/>
      <c r="AB52" s="13" cm="1">
        <f t="array" ref="AB52:AG54">_xlfn.ANCHORARRAY(O46)</f>
        <v>0</v>
      </c>
      <c r="AC52" s="13">
        <v>0</v>
      </c>
      <c r="AD52" s="13">
        <v>-3</v>
      </c>
      <c r="AE52" s="13">
        <v>0</v>
      </c>
      <c r="AF52" s="13">
        <v>-2</v>
      </c>
      <c r="AG52" s="13">
        <v>-3</v>
      </c>
      <c r="AI52" s="11" t="s">
        <v>5</v>
      </c>
      <c r="AJ52" s="28" cm="1">
        <f t="array" ref="AJ52:AO54">MMULT(_xlfn.ANCHORARRAY(AB52),AJ44:AO49)</f>
        <v>-1.4596669307159509E-2</v>
      </c>
      <c r="AK52" s="28">
        <v>-2.9079691907938154</v>
      </c>
      <c r="AL52" s="28">
        <v>-2.8572806865534824E-4</v>
      </c>
      <c r="AM52" s="28">
        <v>-1.4596669307159509E-2</v>
      </c>
      <c r="AN52" s="28">
        <v>-2.6981121595610435E-4</v>
      </c>
      <c r="AO52" s="28">
        <v>-2.7017863125880432</v>
      </c>
      <c r="AP52" s="7"/>
      <c r="AQ52" s="7"/>
    </row>
    <row r="53" spans="2:43" x14ac:dyDescent="0.25">
      <c r="W53" s="7"/>
      <c r="X53" s="7"/>
      <c r="Y53" s="7"/>
      <c r="Z53" s="7"/>
      <c r="AA53" s="7"/>
      <c r="AB53" s="14">
        <v>2</v>
      </c>
      <c r="AC53" s="14">
        <v>0</v>
      </c>
      <c r="AD53" s="14">
        <v>3</v>
      </c>
      <c r="AE53" s="14">
        <v>2</v>
      </c>
      <c r="AF53" s="14">
        <v>3</v>
      </c>
      <c r="AG53" s="14">
        <v>1</v>
      </c>
      <c r="AI53" s="11" t="s">
        <v>5</v>
      </c>
      <c r="AJ53" s="29">
        <v>1.9778002983385521</v>
      </c>
      <c r="AK53" s="29">
        <v>0.96999521944828981</v>
      </c>
      <c r="AL53" s="29">
        <v>1.9981785282288642</v>
      </c>
      <c r="AM53" s="29">
        <v>1.9778002983385521</v>
      </c>
      <c r="AN53" s="29">
        <v>1.9999114876203956</v>
      </c>
      <c r="AO53" s="29">
        <v>0.92120865742473956</v>
      </c>
      <c r="AP53" s="7"/>
      <c r="AQ53" s="7"/>
    </row>
    <row r="54" spans="2:43" x14ac:dyDescent="0.25">
      <c r="B54" s="7"/>
      <c r="W54" s="7"/>
      <c r="X54" s="7"/>
      <c r="Y54" s="7"/>
      <c r="Z54" s="7"/>
      <c r="AA54" s="7"/>
      <c r="AB54" s="15">
        <v>3</v>
      </c>
      <c r="AC54" s="15">
        <v>0</v>
      </c>
      <c r="AD54" s="15">
        <v>4</v>
      </c>
      <c r="AE54" s="15">
        <v>3</v>
      </c>
      <c r="AF54" s="15">
        <v>4</v>
      </c>
      <c r="AG54" s="15">
        <v>4</v>
      </c>
      <c r="AI54" s="11" t="s">
        <v>5</v>
      </c>
      <c r="AJ54" s="30">
        <v>2.9788643361163953</v>
      </c>
      <c r="AK54" s="30">
        <v>3.8783003945244028</v>
      </c>
      <c r="AL54" s="30">
        <v>2.9974799158144183</v>
      </c>
      <c r="AM54" s="30">
        <v>2.9788643361163953</v>
      </c>
      <c r="AN54" s="30">
        <v>2.9998302576007894</v>
      </c>
      <c r="AO54" s="30">
        <v>3.6323610695305297</v>
      </c>
      <c r="AP54" s="7"/>
      <c r="AQ54" s="7"/>
    </row>
    <row r="55" spans="2:43" x14ac:dyDescent="0.25"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 spans="2:43" x14ac:dyDescent="0.25">
      <c r="B56" s="7"/>
      <c r="D56" s="7"/>
      <c r="K56" s="7"/>
      <c r="L56" s="7"/>
      <c r="M56" s="7"/>
      <c r="N56" s="7"/>
      <c r="W56" s="11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spans="2:43" x14ac:dyDescent="0.25">
      <c r="B57" s="7"/>
      <c r="D57" s="7"/>
      <c r="K57" s="7"/>
      <c r="L57" s="7"/>
      <c r="M57" s="7"/>
      <c r="N57" s="7"/>
      <c r="W57" s="7"/>
      <c r="X57" s="7"/>
      <c r="Y57" s="7"/>
      <c r="Z57" s="7"/>
      <c r="AA57" s="11" t="s">
        <v>1</v>
      </c>
      <c r="AB57" s="11">
        <v>0</v>
      </c>
      <c r="AC57" s="11">
        <v>1</v>
      </c>
      <c r="AD57" s="11">
        <v>2</v>
      </c>
      <c r="AE57" s="11">
        <v>3</v>
      </c>
      <c r="AF57" s="11">
        <v>4</v>
      </c>
      <c r="AG57" s="11">
        <v>5</v>
      </c>
      <c r="AI57" s="7"/>
      <c r="AJ57" s="7"/>
      <c r="AK57" s="7"/>
      <c r="AL57" s="7"/>
      <c r="AM57" s="7"/>
      <c r="AN57" s="7"/>
      <c r="AO57" s="7"/>
      <c r="AP57" s="7"/>
      <c r="AQ57" s="7"/>
    </row>
    <row r="58" spans="2:43" x14ac:dyDescent="0.25">
      <c r="B58" s="7"/>
      <c r="D58" s="7"/>
      <c r="I58" s="11"/>
      <c r="J58" s="11"/>
      <c r="K58" s="11"/>
      <c r="L58" s="11" t="s">
        <v>2</v>
      </c>
      <c r="M58" s="11"/>
      <c r="N58" s="7"/>
      <c r="O58" s="11" t="s">
        <v>3</v>
      </c>
      <c r="P58" s="11"/>
      <c r="Q58" s="11"/>
      <c r="R58" s="11"/>
      <c r="S58" s="11"/>
      <c r="T58" s="11"/>
      <c r="W58" s="11"/>
      <c r="X58" s="7"/>
      <c r="Y58" s="11"/>
      <c r="Z58" s="7"/>
      <c r="AA58" s="7"/>
      <c r="AB58" s="11" t="s">
        <v>4</v>
      </c>
      <c r="AC58" s="7"/>
      <c r="AD58" s="7"/>
      <c r="AE58" s="7"/>
      <c r="AF58" s="7"/>
      <c r="AG58" s="7"/>
      <c r="AI58" s="7"/>
      <c r="AJ58" s="7"/>
      <c r="AK58" s="7"/>
      <c r="AL58" s="7"/>
      <c r="AM58" s="7"/>
      <c r="AN58" s="7"/>
      <c r="AO58" s="7"/>
      <c r="AP58" s="7"/>
      <c r="AQ58" s="7"/>
    </row>
    <row r="59" spans="2:43" x14ac:dyDescent="0.25">
      <c r="B59" s="7"/>
      <c r="D59" s="7"/>
      <c r="H59" s="12">
        <v>0</v>
      </c>
      <c r="I59" s="12">
        <v>-1</v>
      </c>
      <c r="J59" s="12">
        <v>0</v>
      </c>
      <c r="K59" s="12">
        <v>0</v>
      </c>
      <c r="L59" s="12">
        <v>0</v>
      </c>
      <c r="M59" s="11" t="s">
        <v>5</v>
      </c>
      <c r="N59" s="7"/>
      <c r="O59" s="13" cm="1">
        <f t="array" ref="O59:T61">MMULT(H59:L61,O6:T10)</f>
        <v>-2</v>
      </c>
      <c r="P59" s="13">
        <v>0</v>
      </c>
      <c r="Q59" s="13">
        <v>-3</v>
      </c>
      <c r="R59" s="13">
        <v>-2</v>
      </c>
      <c r="S59" s="13">
        <v>-3</v>
      </c>
      <c r="T59" s="13">
        <v>-1</v>
      </c>
      <c r="W59" s="11"/>
      <c r="X59" s="11"/>
      <c r="Y59" s="11"/>
      <c r="Z59" s="7"/>
      <c r="AA59" s="11"/>
      <c r="AB59" s="13" cm="1">
        <f t="array" ref="AB59:AG61">_xlfn.ANCHORARRAY(O59)</f>
        <v>-2</v>
      </c>
      <c r="AC59" s="13">
        <v>0</v>
      </c>
      <c r="AD59" s="13">
        <v>-3</v>
      </c>
      <c r="AE59" s="13">
        <v>-2</v>
      </c>
      <c r="AF59" s="13">
        <v>-3</v>
      </c>
      <c r="AG59" s="13">
        <v>-1</v>
      </c>
      <c r="AI59" s="7"/>
      <c r="AJ59" s="7"/>
      <c r="AK59" s="7"/>
      <c r="AL59" s="7"/>
      <c r="AM59" s="7"/>
      <c r="AN59" s="7"/>
      <c r="AO59" s="7"/>
      <c r="AP59" s="7"/>
      <c r="AQ59" s="7"/>
    </row>
    <row r="60" spans="2:43" x14ac:dyDescent="0.25">
      <c r="B60" s="7"/>
      <c r="H60" s="12">
        <v>0</v>
      </c>
      <c r="I60" s="12">
        <v>1</v>
      </c>
      <c r="J60" s="12">
        <v>1</v>
      </c>
      <c r="K60" s="12">
        <v>1</v>
      </c>
      <c r="L60" s="12">
        <v>0</v>
      </c>
      <c r="M60" s="11" t="s">
        <v>5</v>
      </c>
      <c r="N60" s="7"/>
      <c r="O60" s="14">
        <v>6</v>
      </c>
      <c r="P60" s="14">
        <v>1</v>
      </c>
      <c r="Q60" s="14">
        <v>6</v>
      </c>
      <c r="R60" s="14">
        <v>6</v>
      </c>
      <c r="S60" s="14">
        <v>5</v>
      </c>
      <c r="T60" s="14">
        <v>5</v>
      </c>
      <c r="W60" s="11"/>
      <c r="X60" s="11"/>
      <c r="Y60" s="11"/>
      <c r="Z60" s="7"/>
      <c r="AA60" s="11"/>
      <c r="AB60" s="14">
        <v>6</v>
      </c>
      <c r="AC60" s="14">
        <v>1</v>
      </c>
      <c r="AD60" s="14">
        <v>6</v>
      </c>
      <c r="AE60" s="14">
        <v>6</v>
      </c>
      <c r="AF60" s="14">
        <v>5</v>
      </c>
      <c r="AG60" s="14">
        <v>5</v>
      </c>
      <c r="AI60" s="7"/>
      <c r="AJ60" s="7"/>
      <c r="AK60" s="7"/>
      <c r="AL60" s="7"/>
      <c r="AM60" s="7"/>
      <c r="AN60" s="7"/>
      <c r="AO60" s="7"/>
      <c r="AP60" s="7"/>
      <c r="AQ60" s="7"/>
    </row>
    <row r="61" spans="2:43" x14ac:dyDescent="0.25">
      <c r="B61" s="7"/>
      <c r="H61" s="12">
        <v>-1</v>
      </c>
      <c r="I61" s="12">
        <v>0</v>
      </c>
      <c r="J61" s="12">
        <v>-1</v>
      </c>
      <c r="K61" s="12">
        <v>0</v>
      </c>
      <c r="L61" s="12">
        <v>1</v>
      </c>
      <c r="M61" s="11" t="s">
        <v>5</v>
      </c>
      <c r="N61" s="7"/>
      <c r="O61" s="15">
        <v>-2</v>
      </c>
      <c r="P61" s="15">
        <v>0</v>
      </c>
      <c r="Q61" s="15">
        <v>1</v>
      </c>
      <c r="R61" s="15">
        <v>-2</v>
      </c>
      <c r="S61" s="15">
        <v>0</v>
      </c>
      <c r="T61" s="15">
        <v>-3</v>
      </c>
      <c r="W61" s="11"/>
      <c r="X61" s="11"/>
      <c r="Y61" s="11"/>
      <c r="Z61" s="7"/>
      <c r="AA61" s="11"/>
      <c r="AB61" s="15">
        <v>-2</v>
      </c>
      <c r="AC61" s="15">
        <v>0</v>
      </c>
      <c r="AD61" s="15">
        <v>1</v>
      </c>
      <c r="AE61" s="15">
        <v>-2</v>
      </c>
      <c r="AF61" s="15">
        <v>0</v>
      </c>
      <c r="AG61" s="15">
        <v>-3</v>
      </c>
      <c r="AI61" s="7"/>
      <c r="AJ61" s="7"/>
      <c r="AK61" s="7"/>
      <c r="AL61" s="7"/>
      <c r="AM61" s="7"/>
      <c r="AN61" s="7"/>
      <c r="AO61" s="7"/>
      <c r="AP61" s="7"/>
      <c r="AQ61" s="7"/>
    </row>
    <row r="62" spans="2:43" x14ac:dyDescent="0.25">
      <c r="B62" s="7"/>
      <c r="I62" s="11"/>
      <c r="J62" s="11"/>
      <c r="K62" s="11"/>
      <c r="L62" s="11" t="s">
        <v>10</v>
      </c>
      <c r="M62" s="11"/>
      <c r="N62" s="7"/>
      <c r="O62" s="11" t="s">
        <v>11</v>
      </c>
      <c r="P62" s="11"/>
      <c r="Q62" s="11"/>
      <c r="R62" s="11"/>
      <c r="S62" s="11"/>
      <c r="T62" s="11"/>
      <c r="W62" s="11"/>
      <c r="X62" s="11"/>
      <c r="Y62" s="11"/>
      <c r="Z62" s="7"/>
      <c r="AA62" s="11"/>
      <c r="AB62" s="11"/>
      <c r="AC62" s="11"/>
      <c r="AD62" s="11"/>
      <c r="AE62" s="11"/>
      <c r="AF62" s="7"/>
      <c r="AG62" s="7"/>
      <c r="AI62" s="7"/>
      <c r="AJ62" s="7"/>
      <c r="AK62" s="7"/>
      <c r="AL62" s="7"/>
      <c r="AM62" s="7"/>
      <c r="AN62" s="7"/>
      <c r="AO62" s="7"/>
      <c r="AP62" s="7"/>
      <c r="AQ62" s="7"/>
    </row>
    <row r="63" spans="2:43" x14ac:dyDescent="0.25">
      <c r="B63" s="7"/>
      <c r="H63" s="12">
        <v>0</v>
      </c>
      <c r="I63" s="12">
        <v>1</v>
      </c>
      <c r="J63" s="12">
        <v>-1</v>
      </c>
      <c r="K63" s="12">
        <v>0</v>
      </c>
      <c r="L63" s="12">
        <v>0</v>
      </c>
      <c r="M63" s="11" t="s">
        <v>5</v>
      </c>
      <c r="N63" s="7"/>
      <c r="O63" s="13" cm="1">
        <f t="array" ref="O63:T65">MMULT(H63:L65,O6:T10)</f>
        <v>1</v>
      </c>
      <c r="P63" s="13">
        <v>0</v>
      </c>
      <c r="Q63" s="13">
        <v>2</v>
      </c>
      <c r="R63" s="13">
        <v>1</v>
      </c>
      <c r="S63" s="13">
        <v>2</v>
      </c>
      <c r="T63" s="13">
        <v>-2</v>
      </c>
      <c r="W63" s="11"/>
      <c r="X63" s="11"/>
      <c r="Y63" s="11"/>
      <c r="Z63" s="7"/>
      <c r="AA63" s="11"/>
      <c r="AB63" s="16" t="s">
        <v>6</v>
      </c>
      <c r="AC63" s="11"/>
      <c r="AD63" s="11"/>
      <c r="AE63" s="11"/>
      <c r="AF63" s="7"/>
      <c r="AG63" s="7"/>
      <c r="AI63" s="11" t="s">
        <v>7</v>
      </c>
      <c r="AJ63" s="11"/>
      <c r="AK63" s="11"/>
      <c r="AL63" s="11"/>
      <c r="AM63" s="11"/>
      <c r="AN63" s="11"/>
      <c r="AO63" s="11"/>
      <c r="AP63" s="7"/>
      <c r="AQ63" s="7"/>
    </row>
    <row r="64" spans="2:43" x14ac:dyDescent="0.25">
      <c r="B64" s="7"/>
      <c r="H64" s="12">
        <v>1</v>
      </c>
      <c r="I64" s="12">
        <v>-1</v>
      </c>
      <c r="J64" s="12">
        <v>-1</v>
      </c>
      <c r="K64" s="12">
        <v>1</v>
      </c>
      <c r="L64" s="12">
        <v>-1</v>
      </c>
      <c r="M64" s="11" t="s">
        <v>5</v>
      </c>
      <c r="N64" s="7"/>
      <c r="O64" s="14">
        <v>1</v>
      </c>
      <c r="P64" s="14">
        <v>1</v>
      </c>
      <c r="Q64" s="14">
        <v>-4</v>
      </c>
      <c r="R64" s="14">
        <v>1</v>
      </c>
      <c r="S64" s="14">
        <v>-4</v>
      </c>
      <c r="T64" s="14">
        <v>-3</v>
      </c>
      <c r="W64" s="11"/>
      <c r="X64" s="11" t="s">
        <v>8</v>
      </c>
      <c r="Y64" s="11"/>
      <c r="Z64" s="7"/>
      <c r="AA64" s="11"/>
      <c r="AB64" s="11" t="s">
        <v>9</v>
      </c>
      <c r="AC64" s="11" t="s">
        <v>9</v>
      </c>
      <c r="AD64" s="11" t="s">
        <v>9</v>
      </c>
      <c r="AE64" s="11" t="s">
        <v>9</v>
      </c>
      <c r="AF64" s="11" t="s">
        <v>9</v>
      </c>
      <c r="AG64" s="11" t="s">
        <v>9</v>
      </c>
      <c r="AI64" s="11"/>
      <c r="AJ64" s="11">
        <v>0</v>
      </c>
      <c r="AK64" s="11">
        <v>1</v>
      </c>
      <c r="AL64" s="11">
        <v>2</v>
      </c>
      <c r="AM64" s="11">
        <v>3</v>
      </c>
      <c r="AN64" s="11">
        <v>4</v>
      </c>
      <c r="AO64" s="11">
        <v>5</v>
      </c>
      <c r="AP64" s="7"/>
      <c r="AQ64" s="7"/>
    </row>
    <row r="65" spans="2:43" x14ac:dyDescent="0.25">
      <c r="B65" s="7"/>
      <c r="H65" s="12">
        <v>-1</v>
      </c>
      <c r="I65" s="12">
        <v>0</v>
      </c>
      <c r="J65" s="12">
        <v>1</v>
      </c>
      <c r="K65" s="12">
        <v>1</v>
      </c>
      <c r="L65" s="12">
        <v>1</v>
      </c>
      <c r="M65" s="11" t="s">
        <v>5</v>
      </c>
      <c r="O65" s="15">
        <v>3</v>
      </c>
      <c r="P65" s="15">
        <v>1</v>
      </c>
      <c r="Q65" s="15">
        <v>5</v>
      </c>
      <c r="R65" s="15">
        <v>3</v>
      </c>
      <c r="S65" s="15">
        <v>3</v>
      </c>
      <c r="T65" s="15">
        <v>4</v>
      </c>
      <c r="W65" s="11">
        <v>0</v>
      </c>
      <c r="X65" s="17" cm="1">
        <f t="array" ref="X65:Z70">TRANSPOSE(_xlfn.ANCHORARRAY(O63))</f>
        <v>1</v>
      </c>
      <c r="Y65" s="18">
        <v>1</v>
      </c>
      <c r="Z65" s="19">
        <v>3</v>
      </c>
      <c r="AA65" s="11" t="s">
        <v>5</v>
      </c>
      <c r="AB65" s="20" cm="1">
        <f t="array" ref="AB65:AG70">MMULT(_xlfn.ANCHORARRAY(X65),_xlfn.ANCHORARRAY(AB59)) / SQRT(3)</f>
        <v>-1.1547005383792517</v>
      </c>
      <c r="AC65" s="21">
        <v>0.57735026918962584</v>
      </c>
      <c r="AD65" s="21">
        <v>3.4641016151377548</v>
      </c>
      <c r="AE65" s="21">
        <v>-1.1547005383792517</v>
      </c>
      <c r="AF65" s="21">
        <v>1.1547005383792517</v>
      </c>
      <c r="AG65" s="22">
        <v>-2.8867513459481291</v>
      </c>
      <c r="AI65" s="11">
        <v>0</v>
      </c>
      <c r="AJ65" s="20" cm="1">
        <f t="array" ref="AJ65:AJ70">SOFTMAX(AB65:AB70)</f>
        <v>2.9457028739051684E-2</v>
      </c>
      <c r="AK65" s="21" cm="1">
        <f t="array" ref="AK65:AK70">SOFTMAX(AC65:AC70)</f>
        <v>0.31144548186142262</v>
      </c>
      <c r="AL65" s="21" cm="1">
        <f t="array" ref="AL65:AL70">SOFTMAX(AD65:AD70)</f>
        <v>0.26443686664691146</v>
      </c>
      <c r="AM65" s="21" cm="1">
        <f t="array" ref="AM65:AM70">SOFTMAX(AE65:AE70)</f>
        <v>2.9457028739051684E-2</v>
      </c>
      <c r="AN65" s="21" cm="1">
        <f t="array" ref="AN65:AN70">SOFTMAX(AF65:AF70)</f>
        <v>0.13065099655810505</v>
      </c>
      <c r="AO65" s="22" cm="1">
        <f t="array" ref="AO65:AO70">SOFTMAX(AG65:AG70)</f>
        <v>1.6975358472993904E-2</v>
      </c>
      <c r="AP65" s="7"/>
      <c r="AQ65" s="7"/>
    </row>
    <row r="66" spans="2:43" x14ac:dyDescent="0.25">
      <c r="B66" s="7"/>
      <c r="I66" s="11"/>
      <c r="J66" s="11"/>
      <c r="K66" s="11"/>
      <c r="L66" s="16" t="s">
        <v>14</v>
      </c>
      <c r="M66" s="11"/>
      <c r="N66" s="7"/>
      <c r="O66" s="11" t="s">
        <v>12</v>
      </c>
      <c r="P66" s="11"/>
      <c r="Q66" s="11"/>
      <c r="R66" s="11"/>
      <c r="S66" s="11"/>
      <c r="T66" s="11"/>
      <c r="W66" s="11">
        <v>1</v>
      </c>
      <c r="X66" s="17">
        <v>0</v>
      </c>
      <c r="Y66" s="18">
        <v>1</v>
      </c>
      <c r="Z66" s="19">
        <v>1</v>
      </c>
      <c r="AA66" s="11" t="s">
        <v>5</v>
      </c>
      <c r="AB66" s="23">
        <v>2.3094010767585034</v>
      </c>
      <c r="AC66" s="14">
        <v>0.57735026918962584</v>
      </c>
      <c r="AD66" s="14">
        <v>4.0414518843273806</v>
      </c>
      <c r="AE66" s="14">
        <v>2.3094010767585034</v>
      </c>
      <c r="AF66" s="14">
        <v>2.8867513459481291</v>
      </c>
      <c r="AG66" s="24">
        <v>1.1547005383792517</v>
      </c>
      <c r="AI66" s="11">
        <v>1</v>
      </c>
      <c r="AJ66" s="23">
        <v>0.94108565751476225</v>
      </c>
      <c r="AK66" s="14">
        <v>0.31144548186142262</v>
      </c>
      <c r="AL66" s="14">
        <v>0.47104460984185825</v>
      </c>
      <c r="AM66" s="14">
        <v>0.94108565751476225</v>
      </c>
      <c r="AN66" s="14">
        <v>0.7384699622918337</v>
      </c>
      <c r="AO66" s="24">
        <v>0.96604911369195767</v>
      </c>
      <c r="AP66" s="7"/>
      <c r="AQ66" s="7"/>
    </row>
    <row r="67" spans="2:43" x14ac:dyDescent="0.25">
      <c r="B67" s="7"/>
      <c r="H67" s="12">
        <v>-1</v>
      </c>
      <c r="I67" s="12">
        <v>1</v>
      </c>
      <c r="J67" s="12">
        <v>1</v>
      </c>
      <c r="K67" s="12">
        <v>0</v>
      </c>
      <c r="L67" s="12">
        <v>1</v>
      </c>
      <c r="M67" s="11" t="s">
        <v>5</v>
      </c>
      <c r="N67" s="7"/>
      <c r="O67" s="13" cm="1">
        <f t="array" ref="O67:T69">MMULT(H67:L69,O6:T10)</f>
        <v>2</v>
      </c>
      <c r="P67" s="13">
        <v>0</v>
      </c>
      <c r="Q67" s="13">
        <v>6</v>
      </c>
      <c r="R67" s="13">
        <v>2</v>
      </c>
      <c r="S67" s="13">
        <v>5</v>
      </c>
      <c r="T67" s="13">
        <v>4</v>
      </c>
      <c r="W67" s="11">
        <v>2</v>
      </c>
      <c r="X67" s="17">
        <v>2</v>
      </c>
      <c r="Y67" s="18">
        <v>-4</v>
      </c>
      <c r="Z67" s="19">
        <v>5</v>
      </c>
      <c r="AA67" s="11" t="s">
        <v>5</v>
      </c>
      <c r="AB67" s="23">
        <v>-21.93931022920578</v>
      </c>
      <c r="AC67" s="14">
        <v>-2.3094010767585034</v>
      </c>
      <c r="AD67" s="14">
        <v>-14.433756729740645</v>
      </c>
      <c r="AE67" s="14">
        <v>-21.93931022920578</v>
      </c>
      <c r="AF67" s="14">
        <v>-15.01110699893027</v>
      </c>
      <c r="AG67" s="24">
        <v>-21.361959960016154</v>
      </c>
      <c r="AI67" s="11">
        <v>2</v>
      </c>
      <c r="AJ67" s="23">
        <v>2.7704329333307093E-11</v>
      </c>
      <c r="AK67" s="14">
        <v>1.7365282577118425E-2</v>
      </c>
      <c r="AL67" s="14">
        <v>4.4604726977912946E-9</v>
      </c>
      <c r="AM67" s="14">
        <v>2.7704329333307093E-11</v>
      </c>
      <c r="AN67" s="14">
        <v>1.2456376248550466E-8</v>
      </c>
      <c r="AO67" s="24">
        <v>1.6074512142157835E-10</v>
      </c>
      <c r="AP67" s="7"/>
      <c r="AQ67" s="7"/>
    </row>
    <row r="68" spans="2:43" x14ac:dyDescent="0.25">
      <c r="B68" s="7"/>
      <c r="H68" s="12">
        <v>0</v>
      </c>
      <c r="I68" s="12">
        <v>1</v>
      </c>
      <c r="J68" s="12">
        <v>0</v>
      </c>
      <c r="K68" s="12">
        <v>1</v>
      </c>
      <c r="L68" s="12">
        <v>1</v>
      </c>
      <c r="M68" s="11" t="s">
        <v>5</v>
      </c>
      <c r="N68" s="7"/>
      <c r="O68" s="14">
        <v>7</v>
      </c>
      <c r="P68" s="14">
        <v>4</v>
      </c>
      <c r="Q68" s="14">
        <v>7</v>
      </c>
      <c r="R68" s="14">
        <v>7</v>
      </c>
      <c r="S68" s="14">
        <v>5</v>
      </c>
      <c r="T68" s="14">
        <v>4</v>
      </c>
      <c r="W68" s="11">
        <v>3</v>
      </c>
      <c r="X68" s="17">
        <v>1</v>
      </c>
      <c r="Y68" s="18">
        <v>1</v>
      </c>
      <c r="Z68" s="19">
        <v>3</v>
      </c>
      <c r="AA68" s="11" t="s">
        <v>5</v>
      </c>
      <c r="AB68" s="23">
        <v>-1.1547005383792517</v>
      </c>
      <c r="AC68" s="14">
        <v>0.57735026918962584</v>
      </c>
      <c r="AD68" s="14">
        <v>3.4641016151377548</v>
      </c>
      <c r="AE68" s="14">
        <v>-1.1547005383792517</v>
      </c>
      <c r="AF68" s="14">
        <v>1.1547005383792517</v>
      </c>
      <c r="AG68" s="24">
        <v>-2.8867513459481291</v>
      </c>
      <c r="AI68" s="11">
        <v>3</v>
      </c>
      <c r="AJ68" s="23">
        <v>2.9457028739051684E-2</v>
      </c>
      <c r="AK68" s="14">
        <v>0.31144548186142262</v>
      </c>
      <c r="AL68" s="14">
        <v>0.26443686664691146</v>
      </c>
      <c r="AM68" s="14">
        <v>2.9457028739051684E-2</v>
      </c>
      <c r="AN68" s="14">
        <v>0.13065099655810505</v>
      </c>
      <c r="AO68" s="24">
        <v>1.6975358472993904E-2</v>
      </c>
      <c r="AP68" s="7"/>
      <c r="AQ68" s="7"/>
    </row>
    <row r="69" spans="2:43" x14ac:dyDescent="0.25">
      <c r="B69" s="7"/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1" t="s">
        <v>5</v>
      </c>
      <c r="N69" s="7"/>
      <c r="O69" s="15">
        <v>1</v>
      </c>
      <c r="P69" s="15">
        <v>0</v>
      </c>
      <c r="Q69" s="15">
        <v>1</v>
      </c>
      <c r="R69" s="15">
        <v>1</v>
      </c>
      <c r="S69" s="15">
        <v>1</v>
      </c>
      <c r="T69" s="15">
        <v>3</v>
      </c>
      <c r="W69" s="11">
        <v>4</v>
      </c>
      <c r="X69" s="17">
        <v>2</v>
      </c>
      <c r="Y69" s="18">
        <v>-4</v>
      </c>
      <c r="Z69" s="19">
        <v>3</v>
      </c>
      <c r="AA69" s="11" t="s">
        <v>5</v>
      </c>
      <c r="AB69" s="23">
        <v>-19.629909152447276</v>
      </c>
      <c r="AC69" s="14">
        <v>-2.3094010767585034</v>
      </c>
      <c r="AD69" s="14">
        <v>-15.588457268119896</v>
      </c>
      <c r="AE69" s="14">
        <v>-19.629909152447276</v>
      </c>
      <c r="AF69" s="14">
        <v>-15.01110699893027</v>
      </c>
      <c r="AG69" s="24">
        <v>-17.897858344878401</v>
      </c>
      <c r="AI69" s="11">
        <v>4</v>
      </c>
      <c r="AJ69" s="23">
        <v>2.7893806595665235E-10</v>
      </c>
      <c r="AK69" s="14">
        <v>1.7365282577118425E-2</v>
      </c>
      <c r="AL69" s="14">
        <v>1.4057264396844485E-9</v>
      </c>
      <c r="AM69" s="14">
        <v>2.7893806595665235E-10</v>
      </c>
      <c r="AN69" s="14">
        <v>1.2456376248550466E-8</v>
      </c>
      <c r="AO69" s="24">
        <v>5.1354442304891514E-9</v>
      </c>
      <c r="AP69" s="7"/>
      <c r="AQ69" s="7"/>
    </row>
    <row r="70" spans="2:43" x14ac:dyDescent="0.25">
      <c r="B70" s="7"/>
      <c r="W70" s="11">
        <v>5</v>
      </c>
      <c r="X70" s="17">
        <v>-2</v>
      </c>
      <c r="Y70" s="18">
        <v>-3</v>
      </c>
      <c r="Z70" s="19">
        <v>4</v>
      </c>
      <c r="AA70" s="11" t="s">
        <v>5</v>
      </c>
      <c r="AB70" s="25">
        <v>-12.701705922171767</v>
      </c>
      <c r="AC70" s="26">
        <v>-1.7320508075688774</v>
      </c>
      <c r="AD70" s="26">
        <v>-4.6188021535170067</v>
      </c>
      <c r="AE70" s="26">
        <v>-12.701705922171767</v>
      </c>
      <c r="AF70" s="26">
        <v>-5.196152422706632</v>
      </c>
      <c r="AG70" s="27">
        <v>-14.433756729740645</v>
      </c>
      <c r="AI70" s="11">
        <v>5</v>
      </c>
      <c r="AJ70" s="25">
        <v>2.8470049206730628E-7</v>
      </c>
      <c r="AK70" s="26">
        <v>3.093298926149526E-2</v>
      </c>
      <c r="AL70" s="26">
        <v>8.1650998119602478E-5</v>
      </c>
      <c r="AM70" s="26">
        <v>2.8470049206730628E-7</v>
      </c>
      <c r="AN70" s="26">
        <v>2.2801967920374954E-4</v>
      </c>
      <c r="AO70" s="27">
        <v>1.6406586533533261E-7</v>
      </c>
      <c r="AP70" s="7"/>
      <c r="AQ70" s="7"/>
    </row>
    <row r="71" spans="2:43" x14ac:dyDescent="0.25">
      <c r="B71" s="7"/>
      <c r="AP71" s="7"/>
      <c r="AQ71" s="7"/>
    </row>
    <row r="72" spans="2:43" x14ac:dyDescent="0.25">
      <c r="B72" s="7"/>
      <c r="AB72" s="11" t="s">
        <v>12</v>
      </c>
      <c r="AC72" s="11"/>
      <c r="AD72" s="11"/>
      <c r="AE72" s="7"/>
      <c r="AF72" s="11"/>
      <c r="AG72" s="11"/>
      <c r="AI72" s="11" t="s">
        <v>13</v>
      </c>
      <c r="AJ72" s="11" t="s">
        <v>9</v>
      </c>
      <c r="AK72" s="11" t="s">
        <v>9</v>
      </c>
      <c r="AL72" s="11" t="s">
        <v>9</v>
      </c>
      <c r="AM72" s="11" t="s">
        <v>9</v>
      </c>
      <c r="AN72" s="11" t="s">
        <v>9</v>
      </c>
      <c r="AO72" s="11" t="s">
        <v>9</v>
      </c>
      <c r="AP72" s="7"/>
      <c r="AQ72" s="7"/>
    </row>
    <row r="73" spans="2:43" x14ac:dyDescent="0.25">
      <c r="B73" s="7"/>
      <c r="W73" s="7"/>
      <c r="X73" s="7"/>
      <c r="Y73" s="7"/>
      <c r="Z73" s="7"/>
      <c r="AA73" s="7"/>
      <c r="AB73" s="13" cm="1">
        <f t="array" ref="AB73:AG75">_xlfn.ANCHORARRAY(O67)</f>
        <v>2</v>
      </c>
      <c r="AC73" s="13">
        <v>0</v>
      </c>
      <c r="AD73" s="13">
        <v>6</v>
      </c>
      <c r="AE73" s="13">
        <v>2</v>
      </c>
      <c r="AF73" s="13">
        <v>5</v>
      </c>
      <c r="AG73" s="13">
        <v>4</v>
      </c>
      <c r="AI73" s="11" t="s">
        <v>5</v>
      </c>
      <c r="AJ73" s="28" cm="1">
        <f t="array" ref="AJ73:AO75">MMULT(_xlfn.ANCHORARRAY(AB73),AJ65:AO70)</f>
        <v>0.11782925531909132</v>
      </c>
      <c r="AK73" s="28">
        <v>1.5605319928399743</v>
      </c>
      <c r="AL73" s="28">
        <v>1.0580741043715924</v>
      </c>
      <c r="AM73" s="28">
        <v>0.11782925531909132</v>
      </c>
      <c r="AN73" s="28">
        <v>0.52351620196937387</v>
      </c>
      <c r="AO73" s="28">
        <v>6.7902116797128834E-2</v>
      </c>
      <c r="AP73" s="7"/>
      <c r="AQ73" s="7"/>
    </row>
    <row r="74" spans="2:43" x14ac:dyDescent="0.25">
      <c r="B74" s="7"/>
      <c r="W74" s="7"/>
      <c r="X74" s="7"/>
      <c r="Y74" s="7"/>
      <c r="Z74" s="7"/>
      <c r="AA74" s="7"/>
      <c r="AB74" s="14">
        <v>7</v>
      </c>
      <c r="AC74" s="14">
        <v>4</v>
      </c>
      <c r="AD74" s="14">
        <v>7</v>
      </c>
      <c r="AE74" s="14">
        <v>7</v>
      </c>
      <c r="AF74" s="14">
        <v>5</v>
      </c>
      <c r="AG74" s="14">
        <v>4</v>
      </c>
      <c r="AI74" s="11" t="s">
        <v>5</v>
      </c>
      <c r="AJ74" s="29">
        <v>4.1767421727963621</v>
      </c>
      <c r="AK74" s="29">
        <v>5.9381340214770093</v>
      </c>
      <c r="AL74" s="29">
        <v>5.5866212146686127</v>
      </c>
      <c r="AM74" s="29">
        <v>4.1767421727963621</v>
      </c>
      <c r="AN74" s="29">
        <v>4.7839060291741351</v>
      </c>
      <c r="AO74" s="29">
        <v>4.101852156455644</v>
      </c>
      <c r="AP74" s="7"/>
      <c r="AQ74" s="7"/>
    </row>
    <row r="75" spans="2:43" x14ac:dyDescent="0.25">
      <c r="B75" s="7"/>
      <c r="W75" s="7"/>
      <c r="X75" s="7"/>
      <c r="Y75" s="7"/>
      <c r="Z75" s="7"/>
      <c r="AA75" s="7"/>
      <c r="AB75" s="15">
        <v>1</v>
      </c>
      <c r="AC75" s="15">
        <v>0</v>
      </c>
      <c r="AD75" s="15">
        <v>1</v>
      </c>
      <c r="AE75" s="15">
        <v>1</v>
      </c>
      <c r="AF75" s="15">
        <v>1</v>
      </c>
      <c r="AG75" s="15">
        <v>3</v>
      </c>
      <c r="AI75" s="11" t="s">
        <v>5</v>
      </c>
      <c r="AJ75" s="30">
        <v>5.8914911886221964E-2</v>
      </c>
      <c r="AK75" s="30">
        <v>0.75042049666156796</v>
      </c>
      <c r="AL75" s="30">
        <v>0.52911869215438079</v>
      </c>
      <c r="AM75" s="30">
        <v>5.8914911886221964E-2</v>
      </c>
      <c r="AN75" s="30">
        <v>0.26198607706657384</v>
      </c>
      <c r="AO75" s="30">
        <v>3.395121443977317E-2</v>
      </c>
      <c r="AP75" s="7"/>
      <c r="AQ75" s="7"/>
    </row>
    <row r="76" spans="2:43" x14ac:dyDescent="0.25">
      <c r="B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spans="2:43" x14ac:dyDescent="0.25">
      <c r="B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 spans="2:43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 spans="2:43" x14ac:dyDescent="0.25">
      <c r="M79" s="7" t="s">
        <v>0</v>
      </c>
      <c r="N79" s="7"/>
      <c r="O79" s="11" t="s">
        <v>13</v>
      </c>
      <c r="P79" s="7"/>
      <c r="Q79" s="7"/>
      <c r="R79" s="7"/>
      <c r="S79" s="7"/>
      <c r="T79" s="7"/>
    </row>
    <row r="80" spans="2:43" x14ac:dyDescent="0.25">
      <c r="M80" s="7">
        <v>0</v>
      </c>
      <c r="N80" s="7"/>
      <c r="O80" s="28" cm="1">
        <f t="array" ref="O80:T82">_xlfn.ANCHORARRAY(AJ31)</f>
        <v>1.9398303737284071</v>
      </c>
      <c r="P80" s="28">
        <v>1.9990236033959841</v>
      </c>
      <c r="Q80" s="28">
        <v>2.6549777980232152</v>
      </c>
      <c r="R80" s="28">
        <v>1.9398303737284071</v>
      </c>
      <c r="S80" s="28">
        <v>2.6275428168726478</v>
      </c>
      <c r="T80" s="28">
        <v>1.8307843246325604</v>
      </c>
    </row>
    <row r="81" spans="2:20" x14ac:dyDescent="0.25">
      <c r="M81" s="7"/>
      <c r="N81" s="7"/>
      <c r="O81" s="29">
        <v>2.9856370872616056</v>
      </c>
      <c r="P81" s="29">
        <v>2.9996454169809241</v>
      </c>
      <c r="Q81" s="29">
        <v>0.37019408499672396</v>
      </c>
      <c r="R81" s="29">
        <v>2.9856370872616056</v>
      </c>
      <c r="S81" s="29">
        <v>0.3812403767698832</v>
      </c>
      <c r="T81" s="29">
        <v>2.991909088148843</v>
      </c>
    </row>
    <row r="82" spans="2:20" x14ac:dyDescent="0.25">
      <c r="M82" s="7"/>
      <c r="N82" s="7"/>
      <c r="O82" s="30">
        <v>0.90059598343620517</v>
      </c>
      <c r="P82" s="30">
        <v>0.99826879006310332</v>
      </c>
      <c r="Q82" s="30">
        <v>-0.17141685932895673</v>
      </c>
      <c r="R82" s="30">
        <v>0.90059598343620517</v>
      </c>
      <c r="S82" s="30">
        <v>-0.19933196413336726</v>
      </c>
      <c r="T82" s="30">
        <v>0.7421030822352418</v>
      </c>
    </row>
    <row r="83" spans="2:20" x14ac:dyDescent="0.25">
      <c r="D83" s="7"/>
      <c r="E83" s="7"/>
      <c r="F83" s="7"/>
      <c r="G83" s="7"/>
      <c r="H83" s="7"/>
      <c r="I83" s="7"/>
      <c r="J83" s="7"/>
      <c r="K83" s="7"/>
      <c r="L83" s="7"/>
      <c r="M83" s="7">
        <v>1</v>
      </c>
      <c r="N83" s="7"/>
      <c r="O83" s="28" cm="1">
        <f t="array" ref="O83:T85">_xlfn.ANCHORARRAY(AJ52)</f>
        <v>-1.4596669307159509E-2</v>
      </c>
      <c r="P83" s="28">
        <v>-2.9079691907938154</v>
      </c>
      <c r="Q83" s="28">
        <v>-2.8572806865534824E-4</v>
      </c>
      <c r="R83" s="28">
        <v>-1.4596669307159509E-2</v>
      </c>
      <c r="S83" s="28">
        <v>-2.6981121595610435E-4</v>
      </c>
      <c r="T83" s="28">
        <v>-2.7017863125880432</v>
      </c>
    </row>
    <row r="84" spans="2:20" x14ac:dyDescent="0.25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29">
        <v>1.9778002983385521</v>
      </c>
      <c r="P84" s="29">
        <v>0.96999521944828981</v>
      </c>
      <c r="Q84" s="29">
        <v>1.9981785282288642</v>
      </c>
      <c r="R84" s="29">
        <v>1.9778002983385521</v>
      </c>
      <c r="S84" s="29">
        <v>1.9999114876203956</v>
      </c>
      <c r="T84" s="29">
        <v>0.92120865742473956</v>
      </c>
    </row>
    <row r="85" spans="2:20" x14ac:dyDescent="0.25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30">
        <v>2.9788643361163953</v>
      </c>
      <c r="P85" s="30">
        <v>3.8783003945244028</v>
      </c>
      <c r="Q85" s="30">
        <v>2.9974799158144183</v>
      </c>
      <c r="R85" s="30">
        <v>2.9788643361163953</v>
      </c>
      <c r="S85" s="30">
        <v>2.9998302576007894</v>
      </c>
      <c r="T85" s="30">
        <v>3.6323610695305297</v>
      </c>
    </row>
    <row r="86" spans="2:20" x14ac:dyDescent="0.25">
      <c r="C86" s="7"/>
      <c r="D86" s="7"/>
      <c r="E86" s="7"/>
      <c r="F86" s="7"/>
      <c r="G86" s="7"/>
      <c r="H86" s="7"/>
      <c r="I86" s="7"/>
      <c r="J86" s="7"/>
      <c r="K86" s="7"/>
      <c r="L86" s="7"/>
      <c r="M86">
        <v>2</v>
      </c>
      <c r="O86" s="28" cm="1">
        <f t="array" ref="O86:T88">_xlfn.ANCHORARRAY(AJ73)</f>
        <v>0.11782925531909132</v>
      </c>
      <c r="P86" s="28">
        <v>1.5605319928399743</v>
      </c>
      <c r="Q86" s="28">
        <v>1.0580741043715924</v>
      </c>
      <c r="R86" s="28">
        <v>0.11782925531909132</v>
      </c>
      <c r="S86" s="28">
        <v>0.52351620196937387</v>
      </c>
      <c r="T86" s="28">
        <v>6.7902116797128834E-2</v>
      </c>
    </row>
    <row r="87" spans="2:20" x14ac:dyDescent="0.25">
      <c r="C87" s="7"/>
      <c r="D87" s="7"/>
      <c r="E87" s="7"/>
      <c r="F87" s="7"/>
      <c r="G87" s="7"/>
      <c r="H87" s="7"/>
      <c r="I87" s="7"/>
      <c r="J87" s="7"/>
      <c r="K87" s="7"/>
      <c r="L87" s="7"/>
      <c r="O87" s="29">
        <v>4.1767421727963621</v>
      </c>
      <c r="P87" s="29">
        <v>5.9381340214770093</v>
      </c>
      <c r="Q87" s="29">
        <v>5.5866212146686127</v>
      </c>
      <c r="R87" s="29">
        <v>4.1767421727963621</v>
      </c>
      <c r="S87" s="29">
        <v>4.7839060291741351</v>
      </c>
      <c r="T87" s="29">
        <v>4.101852156455644</v>
      </c>
    </row>
    <row r="88" spans="2:20" x14ac:dyDescent="0.25">
      <c r="C88" s="7"/>
      <c r="D88" s="7"/>
      <c r="E88" s="7"/>
      <c r="F88" s="7"/>
      <c r="G88" s="7"/>
      <c r="H88" s="7"/>
      <c r="I88" s="7"/>
      <c r="J88" s="7"/>
      <c r="K88" s="7"/>
      <c r="L88" s="7"/>
      <c r="O88" s="30">
        <v>5.8914911886221964E-2</v>
      </c>
      <c r="P88" s="30">
        <v>0.75042049666156796</v>
      </c>
      <c r="Q88" s="30">
        <v>0.52911869215438079</v>
      </c>
      <c r="R88" s="30">
        <v>5.8914911886221964E-2</v>
      </c>
      <c r="S88" s="30">
        <v>0.26198607706657384</v>
      </c>
      <c r="T88" s="30">
        <v>3.395121443977317E-2</v>
      </c>
    </row>
    <row r="89" spans="2:20" x14ac:dyDescent="0.25"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2:20" x14ac:dyDescent="0.25"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2:20" x14ac:dyDescent="0.25">
      <c r="C91" s="7"/>
      <c r="E91" s="16"/>
      <c r="F91" s="7"/>
      <c r="G91" s="7"/>
      <c r="H91" s="7"/>
      <c r="I91" s="7"/>
      <c r="J91" s="7" t="s">
        <v>15</v>
      </c>
      <c r="K91" s="7"/>
      <c r="L91" s="7"/>
      <c r="M91" s="7"/>
      <c r="N91" s="7"/>
      <c r="O91" s="11" t="s">
        <v>9</v>
      </c>
      <c r="P91" s="11" t="s">
        <v>9</v>
      </c>
      <c r="Q91" s="11" t="s">
        <v>9</v>
      </c>
      <c r="R91" s="11" t="s">
        <v>9</v>
      </c>
      <c r="S91" s="11" t="s">
        <v>9</v>
      </c>
      <c r="T91" s="11" t="s">
        <v>9</v>
      </c>
    </row>
    <row r="92" spans="2:20" x14ac:dyDescent="0.25">
      <c r="B92" s="12">
        <v>0</v>
      </c>
      <c r="C92" s="12">
        <v>0</v>
      </c>
      <c r="D92" s="12">
        <v>1</v>
      </c>
      <c r="E92" s="12">
        <v>0</v>
      </c>
      <c r="F92" s="12">
        <v>0</v>
      </c>
      <c r="G92" s="12">
        <v>1</v>
      </c>
      <c r="H92" s="12">
        <v>-1</v>
      </c>
      <c r="I92" s="12">
        <v>-1</v>
      </c>
      <c r="J92" s="12">
        <v>-1</v>
      </c>
      <c r="K92" s="11" t="s">
        <v>5</v>
      </c>
      <c r="L92" s="7"/>
      <c r="M92" s="7" t="s">
        <v>16</v>
      </c>
      <c r="N92" s="7"/>
      <c r="O92" s="32" cm="1">
        <f t="array" ref="O92:T96">MMULT(B92:J96,O80:T88)</f>
        <v>-0.47402602044907488</v>
      </c>
      <c r="P92" s="32">
        <v>-3.3725173263910455</v>
      </c>
      <c r="Q92" s="32">
        <v>-4.3477509547091238</v>
      </c>
      <c r="R92" s="32">
        <v>-0.47402602044907488</v>
      </c>
      <c r="S92" s="32">
        <v>-2.7689100147426609</v>
      </c>
      <c r="T92" s="32">
        <v>0.17075866407322543</v>
      </c>
    </row>
    <row r="93" spans="2:20" x14ac:dyDescent="0.25">
      <c r="B93" s="12">
        <v>1</v>
      </c>
      <c r="C93" s="12">
        <v>1</v>
      </c>
      <c r="D93" s="12">
        <v>1</v>
      </c>
      <c r="E93" s="12">
        <v>0</v>
      </c>
      <c r="F93" s="12">
        <v>1</v>
      </c>
      <c r="G93" s="12">
        <v>1</v>
      </c>
      <c r="H93" s="12">
        <v>1</v>
      </c>
      <c r="I93" s="12">
        <v>1</v>
      </c>
      <c r="J93" s="12">
        <v>1</v>
      </c>
      <c r="K93" s="11" t="s">
        <v>5</v>
      </c>
      <c r="L93" s="7"/>
      <c r="M93" s="7"/>
      <c r="N93" s="7"/>
      <c r="O93" s="33">
        <v>15.136214418882838</v>
      </c>
      <c r="P93" s="33">
        <v>19.094319935391258</v>
      </c>
      <c r="Q93" s="33">
        <v>15.023227478928851</v>
      </c>
      <c r="R93" s="33">
        <v>15.136214418882838</v>
      </c>
      <c r="S93" s="33">
        <v>13.378601282940432</v>
      </c>
      <c r="T93" s="33">
        <v>14.32207170966446</v>
      </c>
    </row>
    <row r="94" spans="2:20" x14ac:dyDescent="0.25">
      <c r="B94" s="12">
        <v>1</v>
      </c>
      <c r="C94" s="12">
        <v>0</v>
      </c>
      <c r="D94" s="12">
        <v>-1</v>
      </c>
      <c r="E94" s="12">
        <v>1</v>
      </c>
      <c r="F94" s="12">
        <v>0</v>
      </c>
      <c r="G94" s="12">
        <v>0</v>
      </c>
      <c r="H94" s="12">
        <v>1</v>
      </c>
      <c r="I94" s="12">
        <v>0</v>
      </c>
      <c r="J94" s="12">
        <v>0</v>
      </c>
      <c r="K94" s="11" t="s">
        <v>5</v>
      </c>
      <c r="L94" s="7"/>
      <c r="M94" s="7"/>
      <c r="N94" s="7"/>
      <c r="O94" s="33">
        <v>1.1424669763041337</v>
      </c>
      <c r="P94" s="33">
        <v>-0.34668238462096035</v>
      </c>
      <c r="Q94" s="33">
        <v>3.8841830336551091</v>
      </c>
      <c r="R94" s="33">
        <v>1.1424669763041337</v>
      </c>
      <c r="S94" s="33">
        <v>3.350121171759433</v>
      </c>
      <c r="T94" s="33">
        <v>-1.545202953393596</v>
      </c>
    </row>
    <row r="95" spans="2:20" x14ac:dyDescent="0.25">
      <c r="B95" s="12">
        <v>1</v>
      </c>
      <c r="C95" s="12">
        <v>0</v>
      </c>
      <c r="D95" s="12">
        <v>0</v>
      </c>
      <c r="E95" s="12">
        <v>0</v>
      </c>
      <c r="F95" s="12">
        <v>0</v>
      </c>
      <c r="G95" s="12">
        <v>-1</v>
      </c>
      <c r="H95" s="12">
        <v>1</v>
      </c>
      <c r="I95" s="12">
        <v>0</v>
      </c>
      <c r="J95" s="12">
        <v>0</v>
      </c>
      <c r="K95" s="11" t="s">
        <v>5</v>
      </c>
      <c r="L95" s="7"/>
      <c r="M95" s="7"/>
      <c r="N95" s="7"/>
      <c r="O95" s="33">
        <v>-0.92120470706889701</v>
      </c>
      <c r="P95" s="33">
        <v>-0.31874479828844438</v>
      </c>
      <c r="Q95" s="33">
        <v>0.71557198658038934</v>
      </c>
      <c r="R95" s="33">
        <v>-0.92120470706889701</v>
      </c>
      <c r="S95" s="33">
        <v>0.1512287612412323</v>
      </c>
      <c r="T95" s="33">
        <v>-1.7336746281008406</v>
      </c>
    </row>
    <row r="96" spans="2:20" x14ac:dyDescent="0.25">
      <c r="B96" s="12">
        <v>-1</v>
      </c>
      <c r="C96" s="12">
        <v>1</v>
      </c>
      <c r="D96" s="12">
        <v>1</v>
      </c>
      <c r="E96" s="12">
        <v>1</v>
      </c>
      <c r="F96" s="12">
        <v>0</v>
      </c>
      <c r="G96" s="12">
        <v>0</v>
      </c>
      <c r="H96" s="12">
        <v>-1</v>
      </c>
      <c r="I96" s="12">
        <v>1</v>
      </c>
      <c r="J96" s="12">
        <v>0</v>
      </c>
      <c r="K96" s="11" t="s">
        <v>5</v>
      </c>
      <c r="L96" s="7"/>
      <c r="M96" s="7"/>
      <c r="N96" s="7"/>
      <c r="O96" s="34">
        <v>5.9907189451395144</v>
      </c>
      <c r="P96" s="34">
        <v>3.4685234414912629</v>
      </c>
      <c r="Q96" s="34">
        <v>2.0720608098729167</v>
      </c>
      <c r="R96" s="34">
        <v>5.9907189451395144</v>
      </c>
      <c r="S96" s="34">
        <v>1.8144856117526733</v>
      </c>
      <c r="T96" s="34">
        <v>3.2353915728219964</v>
      </c>
    </row>
    <row r="97" spans="1:20" x14ac:dyDescent="0.25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x14ac:dyDescent="0.25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1" spans="1:20" x14ac:dyDescent="0.25">
      <c r="A101" t="s">
        <v>35</v>
      </c>
      <c r="O101" s="31"/>
    </row>
  </sheetData>
  <pageMargins left="0.7" right="0.7" top="0.75" bottom="0.75" header="0.3" footer="0.3"/>
  <headerFooter>
    <oddFooter>&amp;C_x000D_&amp;1#&amp;"Calibri"&amp;10&amp;K000000 SLB-Private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57BA-5F3D-8647-9862-8290BA4264BB}">
  <dimension ref="A1:A21"/>
  <sheetViews>
    <sheetView workbookViewId="0">
      <selection activeCell="A21" sqref="A21"/>
    </sheetView>
  </sheetViews>
  <sheetFormatPr defaultColWidth="10.875" defaultRowHeight="15.75" x14ac:dyDescent="0.25"/>
  <cols>
    <col min="1" max="1" width="116.875" style="36" customWidth="1"/>
    <col min="2" max="16384" width="10.875" style="37"/>
  </cols>
  <sheetData>
    <row r="1" spans="1:1" x14ac:dyDescent="0.25">
      <c r="A1" s="36" t="s">
        <v>18</v>
      </c>
    </row>
    <row r="3" spans="1:1" x14ac:dyDescent="0.25">
      <c r="A3" s="36" t="s">
        <v>19</v>
      </c>
    </row>
    <row r="5" spans="1:1" x14ac:dyDescent="0.25">
      <c r="A5" s="36" t="s">
        <v>20</v>
      </c>
    </row>
    <row r="6" spans="1:1" x14ac:dyDescent="0.25">
      <c r="A6" s="36" t="s">
        <v>21</v>
      </c>
    </row>
    <row r="7" spans="1:1" x14ac:dyDescent="0.25">
      <c r="A7" s="36" t="s">
        <v>22</v>
      </c>
    </row>
    <row r="8" spans="1:1" x14ac:dyDescent="0.25">
      <c r="A8" s="36" t="s">
        <v>23</v>
      </c>
    </row>
    <row r="9" spans="1:1" x14ac:dyDescent="0.25">
      <c r="A9" s="36" t="s">
        <v>24</v>
      </c>
    </row>
    <row r="10" spans="1:1" x14ac:dyDescent="0.25">
      <c r="A10" s="36" t="s">
        <v>25</v>
      </c>
    </row>
    <row r="11" spans="1:1" x14ac:dyDescent="0.25">
      <c r="A11" s="38"/>
    </row>
    <row r="12" spans="1:1" x14ac:dyDescent="0.25">
      <c r="A12" s="36" t="s">
        <v>26</v>
      </c>
    </row>
    <row r="13" spans="1:1" x14ac:dyDescent="0.25">
      <c r="A13" s="36" t="s">
        <v>27</v>
      </c>
    </row>
    <row r="15" spans="1:1" x14ac:dyDescent="0.25">
      <c r="A15" s="36" t="s">
        <v>28</v>
      </c>
    </row>
    <row r="16" spans="1:1" x14ac:dyDescent="0.25">
      <c r="A16" s="36" t="s">
        <v>29</v>
      </c>
    </row>
    <row r="17" spans="1:1" x14ac:dyDescent="0.25">
      <c r="A17" s="36" t="s">
        <v>30</v>
      </c>
    </row>
    <row r="18" spans="1:1" x14ac:dyDescent="0.25">
      <c r="A18" s="36" t="s">
        <v>31</v>
      </c>
    </row>
    <row r="19" spans="1:1" x14ac:dyDescent="0.25">
      <c r="A19" s="36" t="s">
        <v>32</v>
      </c>
    </row>
    <row r="20" spans="1:1" x14ac:dyDescent="0.25">
      <c r="A20" s="36" t="s">
        <v>33</v>
      </c>
    </row>
    <row r="21" spans="1:1" x14ac:dyDescent="0.25">
      <c r="A21" s="36" t="s">
        <v>34</v>
      </c>
    </row>
  </sheetData>
  <pageMargins left="0.7" right="0.7" top="0.75" bottom="0.75" header="0.3" footer="0.3"/>
  <headerFooter>
    <oddFooter>&amp;C_x000D_&amp;1#&amp;"Calibri"&amp;10&amp;K000000 SLB-Private</oddFooter>
  </headerFooter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heads</vt:lpstr>
      <vt:lpstr>LICENSE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Yeh</dc:creator>
  <cp:lastModifiedBy>Heberth Taguado</cp:lastModifiedBy>
  <dcterms:created xsi:type="dcterms:W3CDTF">2024-12-14T16:49:51Z</dcterms:created>
  <dcterms:modified xsi:type="dcterms:W3CDTF">2025-02-02T23:13:58Z</dcterms:modified>
</cp:coreProperties>
</file>