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1" documentId="8_{D33A3274-C8E6-4DDC-BA86-855A9120A466}" xr6:coauthVersionLast="47" xr6:coauthVersionMax="47" xr10:uidLastSave="{A6F3AD63-D39F-4192-AA76-DFFC268C65C9}"/>
  <bookViews>
    <workbookView xWindow="-120" yWindow="-120" windowWidth="20730" windowHeight="11310" xr2:uid="{44E10DF5-B2B4-41A5-B5EE-69A75224704B}"/>
  </bookViews>
  <sheets>
    <sheet name="batch normaliz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 a="1"/>
  <c r="M31" i="1" s="1"/>
  <c r="N26" i="1"/>
  <c r="O26" i="1"/>
  <c r="P26" i="1"/>
  <c r="N27" i="1"/>
  <c r="O27" i="1"/>
  <c r="P27" i="1"/>
  <c r="N28" i="1"/>
  <c r="O28" i="1"/>
  <c r="P28" i="1"/>
  <c r="M27" i="1"/>
  <c r="M28" i="1"/>
  <c r="M26" i="1"/>
  <c r="O22" i="1"/>
  <c r="P22" i="1" s="1"/>
  <c r="O23" i="1"/>
  <c r="P23" i="1"/>
  <c r="O24" i="1"/>
  <c r="P24" i="1" s="1"/>
  <c r="N23" i="1"/>
  <c r="N24" i="1"/>
  <c r="N22" i="1"/>
  <c r="M23" i="1"/>
  <c r="M24" i="1"/>
  <c r="M22" i="1"/>
  <c r="N19" i="1"/>
  <c r="O19" i="1"/>
  <c r="P19" i="1"/>
  <c r="N20" i="1"/>
  <c r="O20" i="1"/>
  <c r="P20" i="1"/>
  <c r="N18" i="1"/>
  <c r="O18" i="1"/>
  <c r="P18" i="1"/>
  <c r="O14" i="1"/>
  <c r="P14" i="1" s="1"/>
  <c r="O15" i="1"/>
  <c r="P15" i="1"/>
  <c r="O16" i="1"/>
  <c r="P16" i="1" s="1"/>
  <c r="N15" i="1"/>
  <c r="N16" i="1"/>
  <c r="N14" i="1"/>
  <c r="M15" i="1"/>
  <c r="M19" i="1" s="1"/>
  <c r="M16" i="1"/>
  <c r="M20" i="1"/>
  <c r="M18" i="1"/>
  <c r="M14" i="1"/>
  <c r="AD11" i="1"/>
  <c r="AD12" i="1"/>
  <c r="AD10" i="1"/>
  <c r="M12" i="1"/>
  <c r="AC11" i="1"/>
  <c r="AC10" i="1"/>
  <c r="AB10" i="1"/>
  <c r="X10" i="1"/>
  <c r="Y10" i="1"/>
  <c r="Z10" i="1"/>
  <c r="AA10" i="1"/>
  <c r="Y11" i="1"/>
  <c r="Z11" i="1"/>
  <c r="AA11" i="1"/>
  <c r="X11" i="1"/>
  <c r="W11" i="1"/>
  <c r="V11" i="1"/>
  <c r="T10" i="1"/>
  <c r="M10" i="1"/>
  <c r="N10" i="1"/>
  <c r="O10" i="1"/>
  <c r="P10" i="1"/>
  <c r="M11" i="1"/>
  <c r="N11" i="1"/>
  <c r="O11" i="1"/>
  <c r="R11" i="1" s="1"/>
  <c r="S11" i="1" s="1"/>
  <c r="P11" i="1"/>
  <c r="N12" i="1"/>
  <c r="O12" i="1"/>
  <c r="P12" i="1"/>
  <c r="R10" i="1"/>
  <c r="S10" i="1" s="1"/>
  <c r="H10" i="1" a="1"/>
  <c r="H10" i="1" s="1"/>
  <c r="R12" i="1" l="1"/>
  <c r="S12" i="1" s="1"/>
  <c r="T12" i="1" s="1"/>
  <c r="U10" i="1"/>
  <c r="V10" i="1"/>
  <c r="W10" i="1"/>
  <c r="T11" i="1"/>
  <c r="U11" i="1"/>
  <c r="AB11" i="1" s="1"/>
  <c r="U12" i="1" l="1"/>
  <c r="Y12" i="1" s="1"/>
  <c r="V12" i="1"/>
  <c r="Z12" i="1" s="1"/>
  <c r="W12" i="1"/>
  <c r="AA12" i="1" s="1"/>
  <c r="X12" i="1"/>
  <c r="AB12" i="1" l="1"/>
  <c r="AC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<sst xmlns="http://schemas.openxmlformats.org/spreadsheetml/2006/main" count="29" uniqueCount="26">
  <si>
    <t>Batch normalization</t>
  </si>
  <si>
    <t>Common practice to improve training and achieve faster convergence</t>
  </si>
  <si>
    <t>X1</t>
  </si>
  <si>
    <t>X2</t>
  </si>
  <si>
    <t>X3</t>
  </si>
  <si>
    <t>X4</t>
  </si>
  <si>
    <t>Given: Mini-batch of 4 training examples</t>
  </si>
  <si>
    <t>each one have 3 features</t>
  </si>
  <si>
    <t>Bias</t>
  </si>
  <si>
    <t>Weights</t>
  </si>
  <si>
    <t>ReLU (suppress negative values)</t>
  </si>
  <si>
    <t>sum</t>
  </si>
  <si>
    <t>mean</t>
  </si>
  <si>
    <t>variance</t>
  </si>
  <si>
    <t>std deviation</t>
  </si>
  <si>
    <t>Sum/n</t>
  </si>
  <si>
    <t>Deviation  from mean</t>
  </si>
  <si>
    <t>Summatory</t>
  </si>
  <si>
    <t>Squared difference</t>
  </si>
  <si>
    <t>Batch statistics</t>
  </si>
  <si>
    <t>Activation values in each dimmension to average to zero</t>
  </si>
  <si>
    <t>activation values to have variance equal to 1</t>
  </si>
  <si>
    <t>Normalize</t>
  </si>
  <si>
    <t>Trainable</t>
  </si>
  <si>
    <t>parameters</t>
  </si>
  <si>
    <t>To next 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</si>
</sst>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 applyBorder="1"/>
    <xf numFmtId="2" fontId="0" fillId="0" borderId="0" xfId="0" applyNumberFormat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3" borderId="0" xfId="0" applyFill="1"/>
    <xf numFmtId="2" fontId="0" fillId="3" borderId="0" xfId="0" applyNumberFormat="1" applyFill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0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horizontal="right"/>
    </xf>
    <xf numFmtId="0" fontId="1" fillId="0" borderId="1" xfId="0" applyFont="1" applyBorder="1"/>
    <xf numFmtId="1" fontId="0" fillId="3" borderId="10" xfId="0" applyNumberFormat="1" applyFill="1" applyBorder="1"/>
    <xf numFmtId="1" fontId="0" fillId="3" borderId="11" xfId="0" applyNumberFormat="1" applyFill="1" applyBorder="1"/>
    <xf numFmtId="1" fontId="0" fillId="3" borderId="12" xfId="0" applyNumberFormat="1" applyFill="1" applyBorder="1"/>
    <xf numFmtId="1" fontId="0" fillId="0" borderId="1" xfId="0" applyNumberFormat="1" applyBorder="1"/>
    <xf numFmtId="1" fontId="0" fillId="0" borderId="19" xfId="0" applyNumberFormat="1" applyBorder="1"/>
    <xf numFmtId="1" fontId="0" fillId="0" borderId="15" xfId="0" applyNumberFormat="1" applyBorder="1"/>
    <xf numFmtId="1" fontId="0" fillId="0" borderId="14" xfId="0" applyNumberFormat="1" applyBorder="1"/>
    <xf numFmtId="1" fontId="0" fillId="0" borderId="16" xfId="0" applyNumberFormat="1" applyBorder="1"/>
    <xf numFmtId="1" fontId="0" fillId="0" borderId="0" xfId="0" applyNumberFormat="1" applyBorder="1"/>
    <xf numFmtId="1" fontId="0" fillId="0" borderId="18" xfId="0" applyNumberFormat="1" applyBorder="1"/>
    <xf numFmtId="1" fontId="0" fillId="0" borderId="22" xfId="0" applyNumberFormat="1" applyBorder="1"/>
    <xf numFmtId="1" fontId="0" fillId="0" borderId="23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D244-5299-46E8-859B-46FE082DD8D6}">
  <dimension ref="C1:AD35"/>
  <sheetViews>
    <sheetView tabSelected="1" workbookViewId="0">
      <selection activeCell="P6" sqref="P6"/>
    </sheetView>
  </sheetViews>
  <sheetFormatPr defaultRowHeight="15" x14ac:dyDescent="0.25"/>
  <cols>
    <col min="3" max="6" width="4.5703125" customWidth="1"/>
    <col min="8" max="11" width="3.85546875" customWidth="1"/>
    <col min="13" max="16" width="5.28515625" customWidth="1"/>
  </cols>
  <sheetData>
    <row r="1" spans="3:30" ht="18.75" x14ac:dyDescent="0.3">
      <c r="C1" s="37" t="s">
        <v>0</v>
      </c>
    </row>
    <row r="2" spans="3:30" x14ac:dyDescent="0.25">
      <c r="C2" t="s">
        <v>1</v>
      </c>
    </row>
    <row r="4" spans="3:30" x14ac:dyDescent="0.25">
      <c r="C4" t="s">
        <v>6</v>
      </c>
      <c r="H4" t="s">
        <v>2</v>
      </c>
      <c r="I4" t="s">
        <v>3</v>
      </c>
      <c r="J4" t="s">
        <v>4</v>
      </c>
      <c r="K4" t="s">
        <v>5</v>
      </c>
    </row>
    <row r="5" spans="3:30" x14ac:dyDescent="0.25">
      <c r="C5" t="s">
        <v>7</v>
      </c>
      <c r="H5" s="2">
        <v>1</v>
      </c>
      <c r="I5" s="2">
        <v>0</v>
      </c>
      <c r="J5" s="2">
        <v>3</v>
      </c>
      <c r="K5" s="2">
        <v>0</v>
      </c>
    </row>
    <row r="6" spans="3:30" x14ac:dyDescent="0.25">
      <c r="H6" s="2">
        <v>0</v>
      </c>
      <c r="I6" s="2">
        <v>3</v>
      </c>
      <c r="J6" s="2">
        <v>1</v>
      </c>
      <c r="K6" s="2">
        <v>1</v>
      </c>
    </row>
    <row r="7" spans="3:30" x14ac:dyDescent="0.25">
      <c r="H7" s="2">
        <v>2</v>
      </c>
      <c r="I7" s="2">
        <v>1</v>
      </c>
      <c r="J7" s="2">
        <v>0</v>
      </c>
      <c r="K7" s="2">
        <v>2</v>
      </c>
      <c r="R7" t="s">
        <v>19</v>
      </c>
    </row>
    <row r="8" spans="3:30" x14ac:dyDescent="0.25">
      <c r="G8" t="s">
        <v>8</v>
      </c>
      <c r="H8" s="3">
        <v>1</v>
      </c>
      <c r="I8" s="3">
        <v>1</v>
      </c>
      <c r="J8" s="3">
        <v>1</v>
      </c>
      <c r="K8" s="3">
        <v>1</v>
      </c>
      <c r="S8" t="s">
        <v>15</v>
      </c>
    </row>
    <row r="9" spans="3:30" x14ac:dyDescent="0.25">
      <c r="C9" t="s">
        <v>9</v>
      </c>
      <c r="M9" t="s">
        <v>10</v>
      </c>
      <c r="R9" t="s">
        <v>11</v>
      </c>
      <c r="S9" t="s">
        <v>12</v>
      </c>
      <c r="T9" t="s">
        <v>16</v>
      </c>
      <c r="X9" t="s">
        <v>18</v>
      </c>
      <c r="AB9" t="s">
        <v>17</v>
      </c>
      <c r="AC9" t="s">
        <v>13</v>
      </c>
      <c r="AD9" t="s">
        <v>14</v>
      </c>
    </row>
    <row r="10" spans="3:30" x14ac:dyDescent="0.25">
      <c r="C10" s="1">
        <v>1</v>
      </c>
      <c r="D10" s="1">
        <v>0</v>
      </c>
      <c r="E10" s="1">
        <v>1</v>
      </c>
      <c r="F10" s="1">
        <v>0</v>
      </c>
      <c r="H10" s="1" cm="1">
        <f t="array" ref="H10:K12">MMULT(C10:F12,H5:K8)</f>
        <v>3</v>
      </c>
      <c r="I10" s="1">
        <v>1</v>
      </c>
      <c r="J10" s="1">
        <v>3</v>
      </c>
      <c r="K10" s="1">
        <v>2</v>
      </c>
      <c r="M10" s="1">
        <f>IF(H10&gt;0,H10,0)</f>
        <v>3</v>
      </c>
      <c r="N10" s="1">
        <f t="shared" ref="N10:P10" si="0">IF(I10&gt;0,I10,0)</f>
        <v>1</v>
      </c>
      <c r="O10" s="1">
        <f t="shared" si="0"/>
        <v>3</v>
      </c>
      <c r="P10" s="1">
        <f t="shared" si="0"/>
        <v>2</v>
      </c>
      <c r="R10" s="14">
        <f>SUM(M10:P10)</f>
        <v>9</v>
      </c>
      <c r="S10" s="15">
        <f>R10/4</f>
        <v>2.25</v>
      </c>
      <c r="T10" s="5">
        <f>M10-$S$10</f>
        <v>0.75</v>
      </c>
      <c r="U10" s="6">
        <f t="shared" ref="U10:W10" si="1">N10-$S$10</f>
        <v>-1.25</v>
      </c>
      <c r="V10" s="6">
        <f t="shared" si="1"/>
        <v>0.75</v>
      </c>
      <c r="W10" s="6">
        <f t="shared" si="1"/>
        <v>-0.25</v>
      </c>
      <c r="X10" s="5">
        <f>POWER(T10,2)</f>
        <v>0.5625</v>
      </c>
      <c r="Y10" s="6">
        <f t="shared" ref="Y10" si="2">POWER(U10,2)</f>
        <v>1.5625</v>
      </c>
      <c r="Z10" s="6">
        <f t="shared" ref="Z10" si="3">POWER(V10,2)</f>
        <v>0.5625</v>
      </c>
      <c r="AA10" s="7">
        <f t="shared" ref="AA10" si="4">POWER(W10,2)</f>
        <v>6.25E-2</v>
      </c>
      <c r="AB10" s="4">
        <f>SUM(X10:AA10)</f>
        <v>2.75</v>
      </c>
      <c r="AC10" s="25">
        <f>AB10/3</f>
        <v>0.91666666666666663</v>
      </c>
      <c r="AD10" s="25">
        <f>SQRT(AB10/4)</f>
        <v>0.82915619758884995</v>
      </c>
    </row>
    <row r="11" spans="3:30" x14ac:dyDescent="0.25">
      <c r="C11" s="1">
        <v>1</v>
      </c>
      <c r="D11" s="1">
        <v>1</v>
      </c>
      <c r="E11" s="1">
        <v>0</v>
      </c>
      <c r="F11" s="1">
        <v>-1</v>
      </c>
      <c r="H11" s="1">
        <v>0</v>
      </c>
      <c r="I11" s="1">
        <v>2</v>
      </c>
      <c r="J11" s="1">
        <v>3</v>
      </c>
      <c r="K11" s="1">
        <v>0</v>
      </c>
      <c r="M11" s="1">
        <f t="shared" ref="M11:M12" si="5">IF(H11&gt;0,H11,0)</f>
        <v>0</v>
      </c>
      <c r="N11" s="1">
        <f t="shared" ref="N11:N12" si="6">IF(I11&gt;0,I11,0)</f>
        <v>2</v>
      </c>
      <c r="O11" s="1">
        <f t="shared" ref="O11:O12" si="7">IF(J11&gt;0,J11,0)</f>
        <v>3</v>
      </c>
      <c r="P11" s="1">
        <f t="shared" ref="P11:P12" si="8">IF(K11&gt;0,K11,0)</f>
        <v>0</v>
      </c>
      <c r="R11" s="14">
        <f>SUM(M11:P11)</f>
        <v>5</v>
      </c>
      <c r="S11" s="15">
        <f t="shared" ref="S11:S12" si="9">R11/4</f>
        <v>1.25</v>
      </c>
      <c r="T11" s="8">
        <f>M11-$S$11</f>
        <v>-1.25</v>
      </c>
      <c r="U11" s="9">
        <f t="shared" ref="U11:W11" si="10">N11-$S$11</f>
        <v>0.75</v>
      </c>
      <c r="V11" s="9">
        <f>O11-$S$11</f>
        <v>1.75</v>
      </c>
      <c r="W11" s="9">
        <f>P11-$S$11</f>
        <v>-1.25</v>
      </c>
      <c r="X11" s="8">
        <f>POWER(T11,2)</f>
        <v>1.5625</v>
      </c>
      <c r="Y11" s="9">
        <f t="shared" ref="Y11:AA11" si="11">POWER(U11,2)</f>
        <v>0.5625</v>
      </c>
      <c r="Z11" s="9">
        <f t="shared" si="11"/>
        <v>3.0625</v>
      </c>
      <c r="AA11" s="10">
        <f t="shared" si="11"/>
        <v>1.5625</v>
      </c>
      <c r="AB11" s="4">
        <f>SUM(X11:AA11)</f>
        <v>6.75</v>
      </c>
      <c r="AC11" s="26">
        <f t="shared" ref="AC11:AC12" si="12">AB11/3</f>
        <v>2.25</v>
      </c>
      <c r="AD11" s="26">
        <f t="shared" ref="AD11:AD12" si="13">SQRT(AB11/4)</f>
        <v>1.299038105676658</v>
      </c>
    </row>
    <row r="12" spans="3:30" x14ac:dyDescent="0.25">
      <c r="C12" s="1">
        <v>0</v>
      </c>
      <c r="D12" s="1">
        <v>2</v>
      </c>
      <c r="E12" s="1">
        <v>-1</v>
      </c>
      <c r="F12" s="1">
        <v>0</v>
      </c>
      <c r="H12" s="1">
        <v>-2</v>
      </c>
      <c r="I12" s="1">
        <v>5</v>
      </c>
      <c r="J12" s="1">
        <v>2</v>
      </c>
      <c r="K12" s="1">
        <v>0</v>
      </c>
      <c r="M12" s="1">
        <f t="shared" si="5"/>
        <v>0</v>
      </c>
      <c r="N12" s="1">
        <f t="shared" si="6"/>
        <v>5</v>
      </c>
      <c r="O12" s="1">
        <f t="shared" si="7"/>
        <v>2</v>
      </c>
      <c r="P12" s="1">
        <f t="shared" si="8"/>
        <v>0</v>
      </c>
      <c r="R12" s="14">
        <f>SUM(M12:P12)</f>
        <v>7</v>
      </c>
      <c r="S12" s="15">
        <f t="shared" si="9"/>
        <v>1.75</v>
      </c>
      <c r="T12" s="11">
        <f>M12-$S$12</f>
        <v>-1.75</v>
      </c>
      <c r="U12" s="12">
        <f>N12-$S$12</f>
        <v>3.25</v>
      </c>
      <c r="V12" s="12">
        <f>O12-$S$12</f>
        <v>0.25</v>
      </c>
      <c r="W12" s="12">
        <f>P12-$S$12</f>
        <v>-1.75</v>
      </c>
      <c r="X12" s="11">
        <f>POWER(T12,2)</f>
        <v>3.0625</v>
      </c>
      <c r="Y12" s="12">
        <f t="shared" ref="Y12" si="14">POWER(U12,2)</f>
        <v>10.5625</v>
      </c>
      <c r="Z12" s="12">
        <f t="shared" ref="Z12" si="15">POWER(V12,2)</f>
        <v>6.25E-2</v>
      </c>
      <c r="AA12" s="13">
        <f t="shared" ref="AA12" si="16">POWER(W12,2)</f>
        <v>3.0625</v>
      </c>
      <c r="AB12" s="4">
        <f t="shared" ref="AB11:AB12" si="17">SUM(X12:AA12)</f>
        <v>16.75</v>
      </c>
      <c r="AC12" s="27">
        <f t="shared" si="12"/>
        <v>5.583333333333333</v>
      </c>
      <c r="AD12" s="27">
        <f t="shared" si="13"/>
        <v>2.0463381929681126</v>
      </c>
    </row>
    <row r="13" spans="3:30" ht="15.75" thickBot="1" x14ac:dyDescent="0.3"/>
    <row r="14" spans="3:30" x14ac:dyDescent="0.25">
      <c r="H14" s="16" t="s">
        <v>22</v>
      </c>
      <c r="I14" s="17"/>
      <c r="J14" s="17"/>
      <c r="K14" s="17"/>
      <c r="L14" s="17" t="s">
        <v>12</v>
      </c>
      <c r="M14" s="30">
        <f>S10</f>
        <v>2.25</v>
      </c>
      <c r="N14" s="31">
        <f>M14</f>
        <v>2.25</v>
      </c>
      <c r="O14" s="31">
        <f t="shared" ref="O14:P14" si="18">N14</f>
        <v>2.25</v>
      </c>
      <c r="P14" s="32">
        <f t="shared" si="18"/>
        <v>2.25</v>
      </c>
      <c r="Q14" t="s">
        <v>20</v>
      </c>
      <c r="T14" s="4"/>
    </row>
    <row r="15" spans="3:30" x14ac:dyDescent="0.25">
      <c r="H15" s="18"/>
      <c r="I15" s="19"/>
      <c r="J15" s="19"/>
      <c r="K15" s="19"/>
      <c r="L15" s="19"/>
      <c r="M15" s="28">
        <f t="shared" ref="M15:M16" si="19">S11</f>
        <v>1.25</v>
      </c>
      <c r="N15" s="33">
        <f t="shared" ref="N15:P16" si="20">M15</f>
        <v>1.25</v>
      </c>
      <c r="O15" s="33">
        <f t="shared" si="20"/>
        <v>1.25</v>
      </c>
      <c r="P15" s="34">
        <f t="shared" si="20"/>
        <v>1.25</v>
      </c>
    </row>
    <row r="16" spans="3:30" x14ac:dyDescent="0.25">
      <c r="H16" s="18"/>
      <c r="I16" s="19"/>
      <c r="J16" s="19"/>
      <c r="K16" s="19"/>
      <c r="L16" s="19"/>
      <c r="M16" s="28">
        <f t="shared" si="19"/>
        <v>1.75</v>
      </c>
      <c r="N16" s="33">
        <f t="shared" si="20"/>
        <v>1.75</v>
      </c>
      <c r="O16" s="33">
        <f t="shared" si="20"/>
        <v>1.75</v>
      </c>
      <c r="P16" s="34">
        <f t="shared" si="20"/>
        <v>1.75</v>
      </c>
    </row>
    <row r="17" spans="7:17" x14ac:dyDescent="0.25">
      <c r="H17" s="18"/>
      <c r="I17" s="19"/>
      <c r="J17" s="19"/>
      <c r="K17" s="19"/>
      <c r="L17" s="19"/>
      <c r="M17" s="19"/>
      <c r="N17" s="19"/>
      <c r="O17" s="19"/>
      <c r="P17" s="20"/>
    </row>
    <row r="18" spans="7:17" x14ac:dyDescent="0.25">
      <c r="H18" s="18"/>
      <c r="I18" s="19"/>
      <c r="J18" s="19"/>
      <c r="K18" s="19"/>
      <c r="L18" s="19"/>
      <c r="M18" s="28">
        <f>M10-M14</f>
        <v>0.75</v>
      </c>
      <c r="N18" s="28">
        <f t="shared" ref="N18:P18" si="21">N10-N14</f>
        <v>-1.25</v>
      </c>
      <c r="O18" s="28">
        <f t="shared" si="21"/>
        <v>0.75</v>
      </c>
      <c r="P18" s="29">
        <f t="shared" si="21"/>
        <v>-0.25</v>
      </c>
    </row>
    <row r="19" spans="7:17" x14ac:dyDescent="0.25">
      <c r="H19" s="18"/>
      <c r="I19" s="19"/>
      <c r="J19" s="19"/>
      <c r="K19" s="19"/>
      <c r="L19" s="19"/>
      <c r="M19" s="28">
        <f t="shared" ref="M19:P20" si="22">M11-M15</f>
        <v>-1.25</v>
      </c>
      <c r="N19" s="28">
        <f t="shared" si="22"/>
        <v>0.75</v>
      </c>
      <c r="O19" s="28">
        <f t="shared" si="22"/>
        <v>1.75</v>
      </c>
      <c r="P19" s="29">
        <f t="shared" si="22"/>
        <v>-1.25</v>
      </c>
    </row>
    <row r="20" spans="7:17" x14ac:dyDescent="0.25">
      <c r="H20" s="18"/>
      <c r="I20" s="19"/>
      <c r="J20" s="19"/>
      <c r="K20" s="19"/>
      <c r="L20" s="19"/>
      <c r="M20" s="28">
        <f t="shared" si="22"/>
        <v>-1.75</v>
      </c>
      <c r="N20" s="28">
        <f t="shared" si="22"/>
        <v>3.25</v>
      </c>
      <c r="O20" s="28">
        <f t="shared" si="22"/>
        <v>0.25</v>
      </c>
      <c r="P20" s="29">
        <f t="shared" si="22"/>
        <v>-1.75</v>
      </c>
    </row>
    <row r="21" spans="7:17" x14ac:dyDescent="0.25">
      <c r="H21" s="18"/>
      <c r="I21" s="19"/>
      <c r="J21" s="19"/>
      <c r="K21" s="19"/>
      <c r="L21" s="19"/>
      <c r="M21" s="19"/>
      <c r="N21" s="19"/>
      <c r="O21" s="19"/>
      <c r="P21" s="20"/>
    </row>
    <row r="22" spans="7:17" x14ac:dyDescent="0.25">
      <c r="H22" s="18"/>
      <c r="I22" s="19"/>
      <c r="J22" s="19"/>
      <c r="K22" s="19"/>
      <c r="L22" s="19" t="s">
        <v>14</v>
      </c>
      <c r="M22" s="28">
        <f>AD10</f>
        <v>0.82915619758884995</v>
      </c>
      <c r="N22" s="33">
        <f>M22</f>
        <v>0.82915619758884995</v>
      </c>
      <c r="O22" s="33">
        <f t="shared" ref="O22:P22" si="23">N22</f>
        <v>0.82915619758884995</v>
      </c>
      <c r="P22" s="34">
        <f t="shared" si="23"/>
        <v>0.82915619758884995</v>
      </c>
      <c r="Q22" t="s">
        <v>21</v>
      </c>
    </row>
    <row r="23" spans="7:17" x14ac:dyDescent="0.25">
      <c r="H23" s="18"/>
      <c r="I23" s="19"/>
      <c r="J23" s="19"/>
      <c r="K23" s="19"/>
      <c r="L23" s="19"/>
      <c r="M23" s="28">
        <f t="shared" ref="M23:M24" si="24">AD11</f>
        <v>1.299038105676658</v>
      </c>
      <c r="N23" s="33">
        <f t="shared" ref="N23:P24" si="25">M23</f>
        <v>1.299038105676658</v>
      </c>
      <c r="O23" s="33">
        <f t="shared" si="25"/>
        <v>1.299038105676658</v>
      </c>
      <c r="P23" s="34">
        <f t="shared" si="25"/>
        <v>1.299038105676658</v>
      </c>
    </row>
    <row r="24" spans="7:17" x14ac:dyDescent="0.25">
      <c r="H24" s="18"/>
      <c r="I24" s="19"/>
      <c r="J24" s="19"/>
      <c r="K24" s="19"/>
      <c r="L24" s="19"/>
      <c r="M24" s="28">
        <f t="shared" si="24"/>
        <v>2.0463381929681126</v>
      </c>
      <c r="N24" s="33">
        <f t="shared" si="25"/>
        <v>2.0463381929681126</v>
      </c>
      <c r="O24" s="33">
        <f t="shared" si="25"/>
        <v>2.0463381929681126</v>
      </c>
      <c r="P24" s="34">
        <f t="shared" si="25"/>
        <v>2.0463381929681126</v>
      </c>
    </row>
    <row r="25" spans="7:17" x14ac:dyDescent="0.25">
      <c r="H25" s="18"/>
      <c r="I25" s="19"/>
      <c r="J25" s="19"/>
      <c r="K25" s="19"/>
      <c r="L25" s="19"/>
      <c r="M25" s="19"/>
      <c r="N25" s="19"/>
      <c r="O25" s="19"/>
      <c r="P25" s="20"/>
    </row>
    <row r="26" spans="7:17" x14ac:dyDescent="0.25">
      <c r="H26" s="18"/>
      <c r="I26" s="19"/>
      <c r="J26" s="19"/>
      <c r="K26" s="19"/>
      <c r="L26" s="19"/>
      <c r="M26" s="28">
        <f>M18/M22</f>
        <v>0.90453403373329089</v>
      </c>
      <c r="N26" s="28">
        <f t="shared" ref="N26:P26" si="26">N18/N22</f>
        <v>-1.507556722888818</v>
      </c>
      <c r="O26" s="28">
        <f t="shared" si="26"/>
        <v>0.90453403373329089</v>
      </c>
      <c r="P26" s="29">
        <f t="shared" si="26"/>
        <v>-0.30151134457776363</v>
      </c>
    </row>
    <row r="27" spans="7:17" x14ac:dyDescent="0.25">
      <c r="H27" s="18"/>
      <c r="I27" s="19"/>
      <c r="J27" s="19"/>
      <c r="K27" s="19"/>
      <c r="L27" s="19"/>
      <c r="M27" s="28">
        <f t="shared" ref="M27:P28" si="27">M19/M23</f>
        <v>-0.96225044864937626</v>
      </c>
      <c r="N27" s="28">
        <f t="shared" si="27"/>
        <v>0.57735026918962573</v>
      </c>
      <c r="O27" s="28">
        <f t="shared" si="27"/>
        <v>1.3471506281091268</v>
      </c>
      <c r="P27" s="29">
        <f t="shared" si="27"/>
        <v>-0.96225044864937626</v>
      </c>
    </row>
    <row r="28" spans="7:17" ht="15.75" thickBot="1" x14ac:dyDescent="0.3">
      <c r="H28" s="21"/>
      <c r="I28" s="22"/>
      <c r="J28" s="22"/>
      <c r="K28" s="22"/>
      <c r="L28" s="22"/>
      <c r="M28" s="35">
        <f t="shared" si="27"/>
        <v>-0.85518611049413651</v>
      </c>
      <c r="N28" s="35">
        <f t="shared" si="27"/>
        <v>1.5882027766319677</v>
      </c>
      <c r="O28" s="35">
        <f t="shared" si="27"/>
        <v>0.12216944435630522</v>
      </c>
      <c r="P28" s="36">
        <f t="shared" si="27"/>
        <v>-0.85518611049413651</v>
      </c>
    </row>
    <row r="29" spans="7:17" x14ac:dyDescent="0.25">
      <c r="L29" t="s">
        <v>8</v>
      </c>
      <c r="M29">
        <v>1</v>
      </c>
      <c r="N29">
        <v>1</v>
      </c>
      <c r="O29">
        <v>1</v>
      </c>
      <c r="P29">
        <v>1</v>
      </c>
    </row>
    <row r="31" spans="7:17" x14ac:dyDescent="0.25">
      <c r="G31" s="23" t="s">
        <v>23</v>
      </c>
      <c r="H31" s="24">
        <v>2</v>
      </c>
      <c r="I31" s="1">
        <v>0</v>
      </c>
      <c r="J31" s="1">
        <v>0</v>
      </c>
      <c r="K31" s="24">
        <v>0</v>
      </c>
      <c r="M31" s="28" cm="1">
        <f t="array" ref="M31:P33">MMULT(H31:K33,M26:P29)</f>
        <v>1.8090680674665818</v>
      </c>
      <c r="N31" s="28">
        <v>-3.0151134457776361</v>
      </c>
      <c r="O31" s="28">
        <v>1.8090680674665818</v>
      </c>
      <c r="P31" s="28">
        <v>-0.60302268915552726</v>
      </c>
    </row>
    <row r="32" spans="7:17" x14ac:dyDescent="0.25">
      <c r="G32" s="23" t="s">
        <v>24</v>
      </c>
      <c r="H32" s="1">
        <v>0</v>
      </c>
      <c r="I32" s="24">
        <v>3</v>
      </c>
      <c r="J32" s="1">
        <v>0</v>
      </c>
      <c r="K32" s="24">
        <v>0</v>
      </c>
      <c r="M32" s="28">
        <v>-2.8867513459481287</v>
      </c>
      <c r="N32" s="28">
        <v>1.7320508075688772</v>
      </c>
      <c r="O32" s="28">
        <v>4.0414518843273806</v>
      </c>
      <c r="P32" s="28">
        <v>-2.8867513459481287</v>
      </c>
    </row>
    <row r="33" spans="8:16" x14ac:dyDescent="0.25">
      <c r="H33" s="1">
        <v>0</v>
      </c>
      <c r="I33" s="1">
        <v>0</v>
      </c>
      <c r="J33" s="24">
        <v>-1</v>
      </c>
      <c r="K33" s="24">
        <v>1</v>
      </c>
      <c r="M33" s="28">
        <v>1.8551861104941365</v>
      </c>
      <c r="N33" s="28">
        <v>-0.58820277663196774</v>
      </c>
      <c r="O33" s="28">
        <v>0.87783055564369472</v>
      </c>
      <c r="P33" s="28">
        <v>1.8551861104941365</v>
      </c>
    </row>
    <row r="35" spans="8:16" x14ac:dyDescent="0.25">
      <c r="M35" t="s">
        <v>25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normalization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dcterms:created xsi:type="dcterms:W3CDTF">2024-09-25T20:09:37Z</dcterms:created>
  <dcterms:modified xsi:type="dcterms:W3CDTF">2024-09-25T21:06:04Z</dcterms:modified>
</cp:coreProperties>
</file>