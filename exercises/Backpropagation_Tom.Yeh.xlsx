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2" documentId="8_{F37CEC25-6CF3-4482-A106-1124CA8F070E}" xr6:coauthVersionLast="47" xr6:coauthVersionMax="47" xr10:uidLastSave="{6EA4299D-287E-4BC8-87DA-7CE7F0A5496F}"/>
  <bookViews>
    <workbookView xWindow="-120" yWindow="-120" windowWidth="20730" windowHeight="11310" xr2:uid="{CF209AAE-1781-43A4-8EA8-218FC3840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 a="1"/>
  <c r="O5" i="1" s="1"/>
  <c r="P9" i="1"/>
  <c r="Q9" i="1"/>
  <c r="O9" i="1"/>
  <c r="O12" i="1"/>
  <c r="P12" i="1"/>
  <c r="Q12" i="1"/>
  <c r="P11" i="1"/>
  <c r="Q11" i="1"/>
  <c r="O11" i="1"/>
  <c r="J20" i="1" a="1"/>
  <c r="J20" i="1" s="1"/>
  <c r="S15" i="1" a="1"/>
  <c r="S15" i="1" s="1"/>
  <c r="T18" i="1"/>
  <c r="U18" i="1"/>
  <c r="V18" i="1"/>
  <c r="S18" i="1"/>
  <c r="S21" i="1"/>
  <c r="T21" i="1"/>
  <c r="U21" i="1"/>
  <c r="V21" i="1"/>
  <c r="T20" i="1"/>
  <c r="U20" i="1"/>
  <c r="V20" i="1"/>
  <c r="S20" i="1"/>
  <c r="L30" i="1" a="1"/>
  <c r="L30" i="1" s="1"/>
  <c r="V24" i="1" a="1"/>
  <c r="V24" i="1" s="1"/>
  <c r="W28" i="1"/>
  <c r="X28" i="1"/>
  <c r="V28" i="1"/>
  <c r="V30" i="1" a="1"/>
  <c r="V30" i="1" s="1"/>
  <c r="L15" i="1" a="1"/>
  <c r="L15" i="1" s="1"/>
  <c r="O15" i="1" s="1"/>
  <c r="O17" i="1" l="1"/>
  <c r="P16" i="1"/>
  <c r="P15" i="1"/>
  <c r="O16" i="1"/>
  <c r="P17" i="1"/>
  <c r="O24" i="1" l="1" a="1"/>
  <c r="O24" i="1" l="1"/>
  <c r="R24" i="1" s="1"/>
  <c r="S26" i="1"/>
  <c r="R25" i="1"/>
  <c r="R27" i="1"/>
  <c r="S25" i="1"/>
  <c r="S27" i="1"/>
  <c r="S24" i="1"/>
  <c r="R26" i="1"/>
  <c r="R34" i="1" l="1" a="1"/>
  <c r="R34" i="1" l="1"/>
  <c r="R39" i="1" s="1"/>
  <c r="R41" i="1"/>
  <c r="S41" i="1"/>
  <c r="R40" i="1"/>
  <c r="S39" i="1"/>
  <c r="S40" i="1"/>
  <c r="V36" i="1" l="1"/>
  <c r="AD36" i="1" s="1"/>
  <c r="U36" i="1"/>
  <c r="AC36" i="1" s="1"/>
  <c r="S42" i="1"/>
  <c r="V35" i="1" s="1"/>
  <c r="AD35" i="1" s="1"/>
  <c r="V34" i="1"/>
  <c r="AD34" i="1" s="1"/>
  <c r="R42" i="1"/>
  <c r="U35" i="1" s="1"/>
  <c r="AC35" i="1" s="1"/>
  <c r="U34" i="1"/>
  <c r="AC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<sst xmlns="http://schemas.openxmlformats.org/spreadsheetml/2006/main" count="39" uniqueCount="38">
  <si>
    <t>x1</t>
  </si>
  <si>
    <t>x2</t>
  </si>
  <si>
    <t>W1</t>
  </si>
  <si>
    <t>b1</t>
  </si>
  <si>
    <t>Z1</t>
  </si>
  <si>
    <t>ReLU</t>
  </si>
  <si>
    <t>A1</t>
  </si>
  <si>
    <t>W2</t>
  </si>
  <si>
    <t>b2</t>
  </si>
  <si>
    <t>Z2</t>
  </si>
  <si>
    <t>A2</t>
  </si>
  <si>
    <t>W3</t>
  </si>
  <si>
    <t>b3</t>
  </si>
  <si>
    <t>Z3</t>
  </si>
  <si>
    <t>Softmax</t>
  </si>
  <si>
    <t>Y predicted</t>
  </si>
  <si>
    <t>Y target</t>
  </si>
  <si>
    <t>Layer 1</t>
  </si>
  <si>
    <t>Layer 2</t>
  </si>
  <si>
    <t>Layer 3</t>
  </si>
  <si>
    <t>S= e^xi / Sum (e^xi)</t>
  </si>
  <si>
    <t>dL/dZ3 = Ypred - Ytarget</t>
  </si>
  <si>
    <t>dL/dZ3</t>
  </si>
  <si>
    <t>Transpose</t>
  </si>
  <si>
    <t>dL/db3 = SUM (dL/dZ3)</t>
  </si>
  <si>
    <t>dL/dW3 = A2 * dL/dZ3</t>
  </si>
  <si>
    <t>dL/dA2 = dL/dZ3 * W3</t>
  </si>
  <si>
    <t>dL/db2 = SUM dL/dZ2</t>
  </si>
  <si>
    <t>dL/dW2 = A1 * dL/dZ2</t>
  </si>
  <si>
    <t>dL/dA1 = dL/dZ2 * W2</t>
  </si>
  <si>
    <t>dL/db1 = SUM dL/dZ1</t>
  </si>
  <si>
    <t>dL/dW1 = X * dL/dZ1</t>
  </si>
  <si>
    <t>Input</t>
  </si>
  <si>
    <t>Backpropagation</t>
  </si>
  <si>
    <t>Forward</t>
  </si>
  <si>
    <t>Backward</t>
  </si>
  <si>
    <t>dL/dZ1 = dL/dA1, if Z1&gt;0, else 0</t>
  </si>
  <si>
    <t>dL/dZ2 = dL/dA2, if Z2&gt;0, else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</si>
</sst>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0" fontId="2" fillId="0" borderId="0" xfId="0" applyFont="1"/>
    <xf numFmtId="0" fontId="2" fillId="2" borderId="0" xfId="0" applyFont="1" applyFill="1"/>
    <xf numFmtId="0" fontId="1" fillId="0" borderId="0" xfId="0" applyFont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0" fontId="0" fillId="2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9</xdr:row>
      <xdr:rowOff>142875</xdr:rowOff>
    </xdr:from>
    <xdr:to>
      <xdr:col>12</xdr:col>
      <xdr:colOff>0</xdr:colOff>
      <xdr:row>12</xdr:row>
      <xdr:rowOff>38100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632098B-12FF-3200-BB21-577186056F3A}"/>
            </a:ext>
          </a:extLst>
        </xdr:cNvPr>
        <xdr:cNvCxnSpPr/>
      </xdr:nvCxnSpPr>
      <xdr:spPr>
        <a:xfrm flipH="1">
          <a:off x="5267325" y="1857375"/>
          <a:ext cx="9525" cy="466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15</xdr:row>
      <xdr:rowOff>95250</xdr:rowOff>
    </xdr:from>
    <xdr:to>
      <xdr:col>11</xdr:col>
      <xdr:colOff>0</xdr:colOff>
      <xdr:row>15</xdr:row>
      <xdr:rowOff>104775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86CC3EF-63EE-4CA1-AF85-751C554CDF57}"/>
            </a:ext>
          </a:extLst>
        </xdr:cNvPr>
        <xdr:cNvCxnSpPr/>
      </xdr:nvCxnSpPr>
      <xdr:spPr>
        <a:xfrm>
          <a:off x="4438650" y="295275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24</xdr:row>
      <xdr:rowOff>180975</xdr:rowOff>
    </xdr:from>
    <xdr:to>
      <xdr:col>13</xdr:col>
      <xdr:colOff>304800</xdr:colOff>
      <xdr:row>25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1E61378-6684-40A9-9885-F15750BF7E21}"/>
            </a:ext>
          </a:extLst>
        </xdr:cNvPr>
        <xdr:cNvCxnSpPr/>
      </xdr:nvCxnSpPr>
      <xdr:spPr>
        <a:xfrm>
          <a:off x="5219700" y="475297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18</xdr:row>
      <xdr:rowOff>161925</xdr:rowOff>
    </xdr:from>
    <xdr:to>
      <xdr:col>15</xdr:col>
      <xdr:colOff>19050</xdr:colOff>
      <xdr:row>21</xdr:row>
      <xdr:rowOff>57150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7F81517-E074-46F9-BDFB-20906E6A89DE}"/>
            </a:ext>
          </a:extLst>
        </xdr:cNvPr>
        <xdr:cNvCxnSpPr/>
      </xdr:nvCxnSpPr>
      <xdr:spPr>
        <a:xfrm flipH="1">
          <a:off x="6076950" y="3590925"/>
          <a:ext cx="9525" cy="466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29</xdr:row>
      <xdr:rowOff>0</xdr:rowOff>
    </xdr:from>
    <xdr:to>
      <xdr:col>18</xdr:col>
      <xdr:colOff>9525</xdr:colOff>
      <xdr:row>31</xdr:row>
      <xdr:rowOff>85725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FE9948D-3960-4FDA-B4D0-E52A9956312C}"/>
            </a:ext>
          </a:extLst>
        </xdr:cNvPr>
        <xdr:cNvCxnSpPr/>
      </xdr:nvCxnSpPr>
      <xdr:spPr>
        <a:xfrm flipH="1">
          <a:off x="6677025" y="5524500"/>
          <a:ext cx="9525" cy="466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34</xdr:row>
      <xdr:rowOff>114300</xdr:rowOff>
    </xdr:from>
    <xdr:to>
      <xdr:col>17</xdr:col>
      <xdr:colOff>9525</xdr:colOff>
      <xdr:row>34</xdr:row>
      <xdr:rowOff>123825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32CBA7A-EB44-4606-9BA6-C1C4A022047B}"/>
            </a:ext>
          </a:extLst>
        </xdr:cNvPr>
        <xdr:cNvCxnSpPr/>
      </xdr:nvCxnSpPr>
      <xdr:spPr>
        <a:xfrm>
          <a:off x="6076950" y="65913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30</xdr:row>
      <xdr:rowOff>19050</xdr:rowOff>
    </xdr:from>
    <xdr:to>
      <xdr:col>27</xdr:col>
      <xdr:colOff>76200</xdr:colOff>
      <xdr:row>30</xdr:row>
      <xdr:rowOff>28575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519A230-1CFD-4013-A92D-B416F320A3AB}"/>
            </a:ext>
          </a:extLst>
        </xdr:cNvPr>
        <xdr:cNvCxnSpPr/>
      </xdr:nvCxnSpPr>
      <xdr:spPr>
        <a:xfrm flipH="1" flipV="1">
          <a:off x="8867775" y="5734050"/>
          <a:ext cx="457200" cy="9525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28</xdr:row>
      <xdr:rowOff>9525</xdr:rowOff>
    </xdr:from>
    <xdr:to>
      <xdr:col>22</xdr:col>
      <xdr:colOff>190500</xdr:colOff>
      <xdr:row>29</xdr:row>
      <xdr:rowOff>9525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0E457FD-78A0-46A9-8CDD-0A5A6E9C3CF9}"/>
            </a:ext>
          </a:extLst>
        </xdr:cNvPr>
        <xdr:cNvCxnSpPr/>
      </xdr:nvCxnSpPr>
      <xdr:spPr>
        <a:xfrm flipV="1">
          <a:off x="7972425" y="5343525"/>
          <a:ext cx="0" cy="190500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142875</xdr:colOff>
      <xdr:row>31</xdr:row>
      <xdr:rowOff>85725</xdr:rowOff>
    </xdr:from>
    <xdr:to>
      <xdr:col>13</xdr:col>
      <xdr:colOff>142875</xdr:colOff>
      <xdr:row>32</xdr:row>
      <xdr:rowOff>85725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C83A2CC-3072-4AB4-9C1B-DC3F4BD2C06C}"/>
            </a:ext>
          </a:extLst>
        </xdr:cNvPr>
        <xdr:cNvCxnSpPr/>
      </xdr:nvCxnSpPr>
      <xdr:spPr>
        <a:xfrm flipV="1">
          <a:off x="5324475" y="5991225"/>
          <a:ext cx="0" cy="190500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85725</xdr:colOff>
      <xdr:row>30</xdr:row>
      <xdr:rowOff>0</xdr:rowOff>
    </xdr:from>
    <xdr:to>
      <xdr:col>16</xdr:col>
      <xdr:colOff>266700</xdr:colOff>
      <xdr:row>30</xdr:row>
      <xdr:rowOff>9525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37B838B-9555-4178-B947-5E418B024788}"/>
            </a:ext>
          </a:extLst>
        </xdr:cNvPr>
        <xdr:cNvCxnSpPr/>
      </xdr:nvCxnSpPr>
      <xdr:spPr>
        <a:xfrm flipH="1" flipV="1">
          <a:off x="5867400" y="5715000"/>
          <a:ext cx="457200" cy="9525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</xdr:row>
      <xdr:rowOff>0</xdr:rowOff>
    </xdr:from>
    <xdr:to>
      <xdr:col>20</xdr:col>
      <xdr:colOff>0</xdr:colOff>
      <xdr:row>19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66EBA41-743A-4A94-B13E-09CA4FC43456}"/>
            </a:ext>
          </a:extLst>
        </xdr:cNvPr>
        <xdr:cNvCxnSpPr/>
      </xdr:nvCxnSpPr>
      <xdr:spPr>
        <a:xfrm flipV="1">
          <a:off x="7324725" y="3429000"/>
          <a:ext cx="0" cy="190500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133350</xdr:colOff>
      <xdr:row>15</xdr:row>
      <xdr:rowOff>95250</xdr:rowOff>
    </xdr:from>
    <xdr:to>
      <xdr:col>17</xdr:col>
      <xdr:colOff>304800</xdr:colOff>
      <xdr:row>15</xdr:row>
      <xdr:rowOff>104775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0A528F9-7A08-44B2-83CF-11C1C1FCCCA4}"/>
            </a:ext>
          </a:extLst>
        </xdr:cNvPr>
        <xdr:cNvCxnSpPr/>
      </xdr:nvCxnSpPr>
      <xdr:spPr>
        <a:xfrm>
          <a:off x="6286500" y="2952750"/>
          <a:ext cx="447675" cy="9525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123825</xdr:colOff>
      <xdr:row>21</xdr:row>
      <xdr:rowOff>114300</xdr:rowOff>
    </xdr:from>
    <xdr:to>
      <xdr:col>10</xdr:col>
      <xdr:colOff>123825</xdr:colOff>
      <xdr:row>22</xdr:row>
      <xdr:rowOff>114300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765EEB7-C8FD-4373-B88A-3248AE5A9D98}"/>
            </a:ext>
          </a:extLst>
        </xdr:cNvPr>
        <xdr:cNvCxnSpPr/>
      </xdr:nvCxnSpPr>
      <xdr:spPr>
        <a:xfrm flipV="1">
          <a:off x="4552950" y="4114800"/>
          <a:ext cx="0" cy="190500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20</xdr:row>
      <xdr:rowOff>19050</xdr:rowOff>
    </xdr:from>
    <xdr:to>
      <xdr:col>13</xdr:col>
      <xdr:colOff>247650</xdr:colOff>
      <xdr:row>20</xdr:row>
      <xdr:rowOff>28575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41E62A7D-7024-45A0-84BE-8C8D428B2933}"/>
            </a:ext>
          </a:extLst>
        </xdr:cNvPr>
        <xdr:cNvCxnSpPr/>
      </xdr:nvCxnSpPr>
      <xdr:spPr>
        <a:xfrm flipH="1" flipV="1">
          <a:off x="5067300" y="3829050"/>
          <a:ext cx="457200" cy="9525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6</xdr:row>
      <xdr:rowOff>0</xdr:rowOff>
    </xdr:from>
    <xdr:to>
      <xdr:col>13</xdr:col>
      <xdr:colOff>200025</xdr:colOff>
      <xdr:row>6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D4B1A29-8906-45C2-A5BC-9EF0815EB643}"/>
            </a:ext>
          </a:extLst>
        </xdr:cNvPr>
        <xdr:cNvCxnSpPr/>
      </xdr:nvCxnSpPr>
      <xdr:spPr>
        <a:xfrm>
          <a:off x="5381625" y="1143000"/>
          <a:ext cx="161925" cy="0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161925</xdr:colOff>
      <xdr:row>9</xdr:row>
      <xdr:rowOff>19050</xdr:rowOff>
    </xdr:from>
    <xdr:to>
      <xdr:col>15</xdr:col>
      <xdr:colOff>161925</xdr:colOff>
      <xdr:row>10</xdr:row>
      <xdr:rowOff>19050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A0CC3B43-ADB1-42D5-BD03-A214533A16BF}"/>
            </a:ext>
          </a:extLst>
        </xdr:cNvPr>
        <xdr:cNvCxnSpPr/>
      </xdr:nvCxnSpPr>
      <xdr:spPr>
        <a:xfrm flipV="1">
          <a:off x="6105525" y="1733550"/>
          <a:ext cx="0" cy="190500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226786</xdr:colOff>
      <xdr:row>4</xdr:row>
      <xdr:rowOff>68036</xdr:rowOff>
    </xdr:from>
    <xdr:to>
      <xdr:col>33</xdr:col>
      <xdr:colOff>263730</xdr:colOff>
      <xdr:row>28</xdr:row>
      <xdr:rowOff>166798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B6D73A98-8316-C673-179C-7A78F4F6601E}"/>
            </a:ext>
          </a:extLst>
        </xdr:cNvPr>
        <xdr:cNvCxnSpPr/>
      </xdr:nvCxnSpPr>
      <xdr:spPr>
        <a:xfrm flipH="1" flipV="1">
          <a:off x="9865179" y="884465"/>
          <a:ext cx="2486230" cy="47251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215081</xdr:colOff>
      <xdr:row>4</xdr:row>
      <xdr:rowOff>153629</xdr:rowOff>
    </xdr:from>
    <xdr:to>
      <xdr:col>4</xdr:col>
      <xdr:colOff>153629</xdr:colOff>
      <xdr:row>29</xdr:row>
      <xdr:rowOff>107541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921D364-365F-9330-0FE2-04F2F26E9B34}"/>
            </a:ext>
          </a:extLst>
        </xdr:cNvPr>
        <xdr:cNvCxnSpPr/>
      </xdr:nvCxnSpPr>
      <xdr:spPr>
        <a:xfrm>
          <a:off x="215081" y="891048"/>
          <a:ext cx="2396613" cy="4562783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A94B-EB58-4A03-947E-F1CCC09A674B}">
  <dimension ref="A1:AD42"/>
  <sheetViews>
    <sheetView tabSelected="1" topLeftCell="A30" zoomScale="84" zoomScaleNormal="84" workbookViewId="0">
      <selection activeCell="Z6" sqref="Z6"/>
    </sheetView>
  </sheetViews>
  <sheetFormatPr defaultRowHeight="15" x14ac:dyDescent="0.25"/>
  <cols>
    <col min="6" max="11" width="4.140625" customWidth="1"/>
    <col min="12" max="12" width="4.5703125" customWidth="1"/>
    <col min="13" max="13" width="5" customWidth="1"/>
    <col min="14" max="14" width="4.85546875" customWidth="1"/>
    <col min="15" max="17" width="4.140625" customWidth="1"/>
    <col min="18" max="18" width="5.140625" customWidth="1"/>
    <col min="19" max="22" width="4.140625" customWidth="1"/>
    <col min="23" max="23" width="4.5703125" customWidth="1"/>
    <col min="24" max="25" width="4.42578125" customWidth="1"/>
    <col min="26" max="26" width="4.7109375" customWidth="1"/>
    <col min="27" max="28" width="3.85546875" customWidth="1"/>
    <col min="29" max="30" width="4.5703125" customWidth="1"/>
  </cols>
  <sheetData>
    <row r="1" spans="1:29" ht="18.75" x14ac:dyDescent="0.3">
      <c r="I1" s="15" t="s">
        <v>33</v>
      </c>
    </row>
    <row r="4" spans="1:29" x14ac:dyDescent="0.25">
      <c r="A4" t="s">
        <v>34</v>
      </c>
      <c r="L4" t="s">
        <v>0</v>
      </c>
      <c r="M4" t="s">
        <v>1</v>
      </c>
      <c r="AC4" t="s">
        <v>35</v>
      </c>
    </row>
    <row r="5" spans="1:29" x14ac:dyDescent="0.25">
      <c r="I5" t="s">
        <v>32</v>
      </c>
      <c r="L5" s="1">
        <v>2</v>
      </c>
      <c r="M5" s="1">
        <v>-1</v>
      </c>
      <c r="O5" s="2" cm="1">
        <f t="array" ref="O5:Q8">MMULT(L5:M8,O11:Q12)</f>
        <v>0.23801314780179242</v>
      </c>
      <c r="P5" s="2">
        <v>-0.37934879139150568</v>
      </c>
      <c r="Q5" s="2">
        <v>-1.3314013825986759</v>
      </c>
      <c r="S5" s="9" t="s">
        <v>31</v>
      </c>
    </row>
    <row r="6" spans="1:29" x14ac:dyDescent="0.25">
      <c r="L6" s="1">
        <v>1</v>
      </c>
      <c r="M6" s="1">
        <v>1</v>
      </c>
      <c r="O6" s="2">
        <v>-0.24808613268130025</v>
      </c>
      <c r="P6" s="2">
        <v>-1.1559066556867714</v>
      </c>
      <c r="Q6" s="2">
        <v>-0.16356212496157074</v>
      </c>
    </row>
    <row r="7" spans="1:29" x14ac:dyDescent="0.25">
      <c r="L7" s="1">
        <v>2</v>
      </c>
      <c r="M7" s="1">
        <v>1</v>
      </c>
      <c r="O7" s="2">
        <v>-0.25144379430780289</v>
      </c>
      <c r="P7" s="2">
        <v>-1.6676584713795306</v>
      </c>
      <c r="Q7" s="2">
        <v>-0.66188329414831959</v>
      </c>
    </row>
    <row r="8" spans="1:29" x14ac:dyDescent="0.25">
      <c r="L8" s="1">
        <v>1</v>
      </c>
      <c r="M8" s="1">
        <v>2</v>
      </c>
      <c r="O8" s="2">
        <v>-0.49281460373609792</v>
      </c>
      <c r="P8" s="2">
        <v>-1.8000614956807839</v>
      </c>
      <c r="Q8" s="2">
        <v>0.17119691926360736</v>
      </c>
    </row>
    <row r="9" spans="1:29" x14ac:dyDescent="0.25">
      <c r="L9">
        <v>1</v>
      </c>
      <c r="M9">
        <v>1</v>
      </c>
      <c r="O9" s="13">
        <f>O11+O12</f>
        <v>-0.24808613268130025</v>
      </c>
      <c r="P9" s="13">
        <f t="shared" ref="P9:Q9" si="0">P11+P12</f>
        <v>-1.1559066556867714</v>
      </c>
      <c r="Q9" s="13">
        <f t="shared" si="0"/>
        <v>-0.16356212496157074</v>
      </c>
      <c r="S9" s="10" t="s">
        <v>30</v>
      </c>
      <c r="T9" s="14"/>
      <c r="U9" s="14"/>
      <c r="V9" s="14"/>
      <c r="W9" s="14"/>
    </row>
    <row r="11" spans="1:29" x14ac:dyDescent="0.25">
      <c r="O11" s="12">
        <f>J20</f>
        <v>-3.357661626502615E-3</v>
      </c>
      <c r="P11" s="12">
        <f t="shared" ref="P11:Q11" si="1">K20</f>
        <v>-0.51175181569275907</v>
      </c>
      <c r="Q11" s="12">
        <f t="shared" si="1"/>
        <v>-0.49832116918674885</v>
      </c>
      <c r="S11" s="11" t="s">
        <v>36</v>
      </c>
    </row>
    <row r="12" spans="1:29" x14ac:dyDescent="0.25">
      <c r="O12" s="12">
        <f>J21</f>
        <v>-0.24472847105479764</v>
      </c>
      <c r="P12" s="12">
        <f t="shared" ref="P12" si="2">K21</f>
        <v>-0.64415483999401246</v>
      </c>
      <c r="Q12" s="12">
        <f t="shared" ref="Q12" si="3">L21</f>
        <v>0.3347590442251781</v>
      </c>
    </row>
    <row r="14" spans="1:29" x14ac:dyDescent="0.25">
      <c r="E14" t="s">
        <v>17</v>
      </c>
      <c r="F14" t="s">
        <v>2</v>
      </c>
      <c r="J14" t="s">
        <v>3</v>
      </c>
      <c r="L14" t="s">
        <v>4</v>
      </c>
      <c r="N14" t="s">
        <v>5</v>
      </c>
      <c r="O14" t="s">
        <v>6</v>
      </c>
    </row>
    <row r="15" spans="1:29" x14ac:dyDescent="0.25">
      <c r="F15" s="6">
        <v>1</v>
      </c>
      <c r="G15" s="6">
        <v>0</v>
      </c>
      <c r="H15" s="6">
        <v>-1</v>
      </c>
      <c r="I15" s="6">
        <v>1</v>
      </c>
      <c r="J15" s="7">
        <v>1</v>
      </c>
      <c r="L15" s="5" cm="1">
        <f t="array" ref="L15:M17">MMULT(F15:J17,L5:M9)</f>
        <v>2</v>
      </c>
      <c r="M15" s="5">
        <v>1</v>
      </c>
      <c r="O15" s="5">
        <f>IF(L15&lt;0,0,L15)</f>
        <v>2</v>
      </c>
      <c r="P15" s="5">
        <f>IF(M15&lt;0,0,M15)</f>
        <v>1</v>
      </c>
      <c r="S15" s="2" cm="1">
        <f t="array" ref="S15:V17">MMULT(O15:P17,S20:V21)</f>
        <v>0.25144379430780273</v>
      </c>
      <c r="T15" s="2">
        <v>-0.25144379430780289</v>
      </c>
      <c r="U15" s="2">
        <v>-1.1647708827639249</v>
      </c>
      <c r="V15" s="2">
        <v>0.50288758861560579</v>
      </c>
      <c r="X15" s="9" t="s">
        <v>28</v>
      </c>
    </row>
    <row r="16" spans="1:29" x14ac:dyDescent="0.25">
      <c r="F16" s="6">
        <v>0</v>
      </c>
      <c r="G16" s="6">
        <v>1</v>
      </c>
      <c r="H16" s="6">
        <v>1</v>
      </c>
      <c r="I16" s="6">
        <v>0</v>
      </c>
      <c r="J16" s="7">
        <v>1</v>
      </c>
      <c r="L16" s="5">
        <v>4</v>
      </c>
      <c r="M16" s="5">
        <v>3</v>
      </c>
      <c r="O16" s="5">
        <f t="shared" ref="O16:O17" si="4">IF(L16&lt;0,0,L16)</f>
        <v>4</v>
      </c>
      <c r="P16" s="5">
        <f t="shared" ref="P16:P17" si="5">IF(M16&lt;0,0,M16)</f>
        <v>3</v>
      </c>
      <c r="S16" s="2">
        <v>0.74761605967040301</v>
      </c>
      <c r="T16" s="2">
        <v>-0.74761605967040334</v>
      </c>
      <c r="U16" s="2">
        <v>-2.484239663412267</v>
      </c>
      <c r="V16" s="2">
        <v>1.4952321193408067</v>
      </c>
    </row>
    <row r="17" spans="5:30" x14ac:dyDescent="0.25">
      <c r="F17" s="6">
        <v>1</v>
      </c>
      <c r="G17" s="6">
        <v>-1</v>
      </c>
      <c r="H17" s="6">
        <v>0</v>
      </c>
      <c r="I17" s="6">
        <v>0</v>
      </c>
      <c r="J17" s="7">
        <v>0</v>
      </c>
      <c r="L17" s="5">
        <v>1</v>
      </c>
      <c r="M17" s="5">
        <v>-2</v>
      </c>
      <c r="O17" s="5">
        <f t="shared" si="4"/>
        <v>1</v>
      </c>
      <c r="P17" s="5">
        <f t="shared" si="5"/>
        <v>0</v>
      </c>
      <c r="S17" s="2">
        <v>3.3576616265025283E-3</v>
      </c>
      <c r="T17" s="2">
        <v>-3.357661626502615E-3</v>
      </c>
      <c r="U17" s="2">
        <v>-0.5050364924397539</v>
      </c>
      <c r="V17" s="2">
        <v>6.7153232530052301E-3</v>
      </c>
    </row>
    <row r="18" spans="5:30" x14ac:dyDescent="0.25">
      <c r="O18">
        <v>1</v>
      </c>
      <c r="P18">
        <v>1</v>
      </c>
      <c r="S18" s="13">
        <f>S20+S21</f>
        <v>0.24808613268130017</v>
      </c>
      <c r="T18" s="13">
        <f t="shared" ref="T18:V18" si="6">T20+T21</f>
        <v>-0.24808613268130025</v>
      </c>
      <c r="U18" s="13">
        <f t="shared" si="6"/>
        <v>-0.65973439032417103</v>
      </c>
      <c r="V18" s="13">
        <f t="shared" si="6"/>
        <v>0.49617226536260051</v>
      </c>
      <c r="X18" s="10" t="s">
        <v>27</v>
      </c>
      <c r="Y18" s="14"/>
      <c r="Z18" s="14"/>
      <c r="AA18" s="14"/>
      <c r="AB18" s="14"/>
    </row>
    <row r="20" spans="5:30" x14ac:dyDescent="0.25">
      <c r="E20" s="9" t="s">
        <v>29</v>
      </c>
      <c r="J20" s="12" cm="1">
        <f t="array" ref="J20:L21">MMULT(S20:V21,J24:L27)</f>
        <v>-3.357661626502615E-3</v>
      </c>
      <c r="K20" s="12">
        <v>-0.51175181569275907</v>
      </c>
      <c r="L20" s="12">
        <v>-0.49832116918674885</v>
      </c>
      <c r="S20" s="12">
        <f>L30</f>
        <v>3.3576616265025283E-3</v>
      </c>
      <c r="T20" s="12">
        <f t="shared" ref="T20:V20" si="7">M30</f>
        <v>-3.357661626502615E-3</v>
      </c>
      <c r="U20" s="12">
        <f t="shared" si="7"/>
        <v>-0.5050364924397539</v>
      </c>
      <c r="V20" s="12">
        <f t="shared" si="7"/>
        <v>6.7153232530052301E-3</v>
      </c>
      <c r="X20" s="11" t="s">
        <v>37</v>
      </c>
    </row>
    <row r="21" spans="5:30" x14ac:dyDescent="0.25">
      <c r="J21" s="12">
        <v>-0.24472847105479764</v>
      </c>
      <c r="K21" s="12">
        <v>-0.64415483999401246</v>
      </c>
      <c r="L21" s="12">
        <v>0.3347590442251781</v>
      </c>
      <c r="S21" s="12">
        <f>L31</f>
        <v>0.24472847105479764</v>
      </c>
      <c r="T21" s="12">
        <f t="shared" ref="T21" si="8">M31</f>
        <v>-0.24472847105479764</v>
      </c>
      <c r="U21" s="12">
        <f t="shared" ref="U21" si="9">N31</f>
        <v>-0.15469789788441718</v>
      </c>
      <c r="V21" s="12">
        <f t="shared" ref="V21" si="10">O31</f>
        <v>0.48945694210959528</v>
      </c>
    </row>
    <row r="23" spans="5:30" x14ac:dyDescent="0.25">
      <c r="E23" t="s">
        <v>18</v>
      </c>
      <c r="I23" t="s">
        <v>7</v>
      </c>
      <c r="M23" t="s">
        <v>8</v>
      </c>
      <c r="O23" t="s">
        <v>9</v>
      </c>
      <c r="Q23" t="s">
        <v>5</v>
      </c>
      <c r="S23" t="s">
        <v>10</v>
      </c>
    </row>
    <row r="24" spans="5:30" x14ac:dyDescent="0.25">
      <c r="J24" s="6">
        <v>0</v>
      </c>
      <c r="K24" s="6">
        <v>-1</v>
      </c>
      <c r="L24" s="6">
        <v>2</v>
      </c>
      <c r="M24" s="7">
        <v>1</v>
      </c>
      <c r="O24" s="5" cm="1">
        <f t="array" ref="O24:P27">MMULT(J24:M27,O15:P18)</f>
        <v>-1</v>
      </c>
      <c r="P24" s="5">
        <v>-2</v>
      </c>
      <c r="R24" s="5">
        <f>IF(O24&lt;0,0,O24)</f>
        <v>0</v>
      </c>
      <c r="S24" s="5">
        <f>IF(P24&lt;0,0,P24)</f>
        <v>0</v>
      </c>
      <c r="V24" s="2" cm="1">
        <f t="array" ref="V24:X27">MMULT(R24:S27,V30:X31)</f>
        <v>0</v>
      </c>
      <c r="W24" s="2">
        <v>0</v>
      </c>
      <c r="X24" s="2">
        <v>0</v>
      </c>
      <c r="Z24" s="9" t="s">
        <v>25</v>
      </c>
    </row>
    <row r="25" spans="5:30" x14ac:dyDescent="0.25">
      <c r="J25" s="6">
        <v>-1</v>
      </c>
      <c r="K25" s="6">
        <v>1</v>
      </c>
      <c r="L25" s="6">
        <v>0</v>
      </c>
      <c r="M25" s="7">
        <v>2</v>
      </c>
      <c r="O25" s="5">
        <v>4</v>
      </c>
      <c r="P25" s="5">
        <v>4</v>
      </c>
      <c r="R25" s="5">
        <f t="shared" ref="R25:R27" si="11">IF(O25&lt;0,0,O25)</f>
        <v>4</v>
      </c>
      <c r="S25" s="5">
        <f t="shared" ref="S25:S27" si="12">IF(P25&lt;0,0,P25)</f>
        <v>4</v>
      </c>
      <c r="V25" s="2">
        <v>0.99234453072520101</v>
      </c>
      <c r="W25" s="2">
        <v>0.65424849984628253</v>
      </c>
      <c r="X25" s="2">
        <v>-1.6465930305714833</v>
      </c>
    </row>
    <row r="26" spans="5:30" x14ac:dyDescent="0.25">
      <c r="J26" s="6">
        <v>0</v>
      </c>
      <c r="K26" s="6">
        <v>1</v>
      </c>
      <c r="L26" s="6">
        <v>1</v>
      </c>
      <c r="M26" s="7">
        <v>1</v>
      </c>
      <c r="O26" s="5">
        <v>6</v>
      </c>
      <c r="P26" s="5">
        <v>4</v>
      </c>
      <c r="R26" s="5">
        <f t="shared" si="11"/>
        <v>6</v>
      </c>
      <c r="S26" s="5">
        <f t="shared" si="12"/>
        <v>4</v>
      </c>
      <c r="V26" s="2">
        <v>0.99905985397820629</v>
      </c>
      <c r="W26" s="2">
        <v>1.6508908382197798</v>
      </c>
      <c r="X26" s="2">
        <v>-2.6499506921979861</v>
      </c>
    </row>
    <row r="27" spans="5:30" x14ac:dyDescent="0.25">
      <c r="J27" s="6">
        <v>-1</v>
      </c>
      <c r="K27" s="6">
        <v>0</v>
      </c>
      <c r="L27" s="6">
        <v>0</v>
      </c>
      <c r="M27" s="7">
        <v>3</v>
      </c>
      <c r="O27" s="5">
        <v>1</v>
      </c>
      <c r="P27" s="5">
        <v>2</v>
      </c>
      <c r="R27" s="5">
        <f t="shared" si="11"/>
        <v>1</v>
      </c>
      <c r="S27" s="5">
        <f t="shared" si="12"/>
        <v>2</v>
      </c>
      <c r="V27" s="2">
        <v>0.49281460373609792</v>
      </c>
      <c r="W27" s="2">
        <v>-0.17119691926360747</v>
      </c>
      <c r="X27" s="2">
        <v>-0.32161768447249034</v>
      </c>
    </row>
    <row r="28" spans="5:30" x14ac:dyDescent="0.25">
      <c r="R28">
        <v>1</v>
      </c>
      <c r="S28">
        <v>1</v>
      </c>
      <c r="V28" s="3">
        <f>V30+V31</f>
        <v>0.24808613268130025</v>
      </c>
      <c r="W28" s="3">
        <f t="shared" ref="W28:X28" si="13">W30+W31</f>
        <v>0.16356212496157063</v>
      </c>
      <c r="X28" s="3">
        <f t="shared" si="13"/>
        <v>-0.41164825764287083</v>
      </c>
      <c r="Z28" s="10" t="s">
        <v>24</v>
      </c>
      <c r="AA28" s="10"/>
      <c r="AB28" s="10"/>
      <c r="AC28" s="10"/>
      <c r="AD28" s="10"/>
    </row>
    <row r="30" spans="5:30" x14ac:dyDescent="0.25">
      <c r="G30" s="9" t="s">
        <v>26</v>
      </c>
      <c r="L30" s="12" cm="1">
        <f t="array" ref="L30:O31">MMULT(V30:X31,L34:O36)</f>
        <v>3.3576616265025283E-3</v>
      </c>
      <c r="M30" s="12">
        <v>-3.357661626502615E-3</v>
      </c>
      <c r="N30" s="12">
        <v>-0.5050364924397539</v>
      </c>
      <c r="O30" s="12">
        <v>6.7153232530052301E-3</v>
      </c>
      <c r="V30" s="12" cm="1">
        <f t="array" ref="V30:X31">TRANSPOSE(AC34:AD36)</f>
        <v>3.357661626502615E-3</v>
      </c>
      <c r="W30" s="12">
        <v>0.49832116918674874</v>
      </c>
      <c r="X30" s="12">
        <v>-0.50167883081325126</v>
      </c>
      <c r="Z30" s="9" t="s">
        <v>22</v>
      </c>
      <c r="AA30" s="9"/>
      <c r="AB30" s="9" t="s">
        <v>23</v>
      </c>
    </row>
    <row r="31" spans="5:30" x14ac:dyDescent="0.25">
      <c r="L31" s="12">
        <v>0.24472847105479764</v>
      </c>
      <c r="M31" s="12">
        <v>-0.24472847105479764</v>
      </c>
      <c r="N31" s="12">
        <v>-0.15469789788441718</v>
      </c>
      <c r="O31" s="12">
        <v>0.48945694210959528</v>
      </c>
      <c r="V31" s="12">
        <v>0.24472847105479764</v>
      </c>
      <c r="W31" s="12">
        <v>-0.3347590442251781</v>
      </c>
      <c r="X31" s="12">
        <v>9.0030573170380462E-2</v>
      </c>
    </row>
    <row r="33" spans="5:30" x14ac:dyDescent="0.25">
      <c r="E33" t="s">
        <v>19</v>
      </c>
      <c r="L33" t="s">
        <v>11</v>
      </c>
      <c r="P33" t="s">
        <v>12</v>
      </c>
      <c r="R33" t="s">
        <v>13</v>
      </c>
      <c r="T33" t="s">
        <v>14</v>
      </c>
    </row>
    <row r="34" spans="5:30" x14ac:dyDescent="0.25">
      <c r="L34" s="6">
        <v>0</v>
      </c>
      <c r="M34" s="6">
        <v>-1</v>
      </c>
      <c r="N34" s="6">
        <v>-1</v>
      </c>
      <c r="O34" s="6">
        <v>2</v>
      </c>
      <c r="P34" s="7">
        <v>5</v>
      </c>
      <c r="R34" s="5" cm="1">
        <f t="array" ref="R34:S36">MMULT(L34:P36,R24:S28)</f>
        <v>-3</v>
      </c>
      <c r="S34" s="5">
        <v>1</v>
      </c>
      <c r="U34" s="5">
        <f>R39/$R$42</f>
        <v>3.357661626502615E-3</v>
      </c>
      <c r="V34" s="5">
        <f>S39/$S$42</f>
        <v>0.24472847105479764</v>
      </c>
      <c r="Y34" s="4">
        <v>0</v>
      </c>
      <c r="Z34" s="4">
        <v>0</v>
      </c>
      <c r="AC34" s="2">
        <f>U34-Y34</f>
        <v>3.357661626502615E-3</v>
      </c>
      <c r="AD34" s="2">
        <f>V34-Z34</f>
        <v>0.24472847105479764</v>
      </c>
    </row>
    <row r="35" spans="5:30" x14ac:dyDescent="0.25">
      <c r="L35" s="6">
        <v>-1</v>
      </c>
      <c r="M35" s="6">
        <v>0</v>
      </c>
      <c r="N35" s="6">
        <v>0</v>
      </c>
      <c r="O35" s="6">
        <v>0</v>
      </c>
      <c r="P35" s="7">
        <v>2</v>
      </c>
      <c r="R35" s="5">
        <v>2</v>
      </c>
      <c r="S35" s="5">
        <v>2</v>
      </c>
      <c r="U35" s="5">
        <f t="shared" ref="U35:U36" si="14">R40/$R$42</f>
        <v>0.49832116918674874</v>
      </c>
      <c r="V35" s="5">
        <f t="shared" ref="V35:V36" si="15">S40/$S$42</f>
        <v>0.6652409557748219</v>
      </c>
      <c r="Y35" s="4">
        <v>0</v>
      </c>
      <c r="Z35" s="4">
        <v>1</v>
      </c>
      <c r="AC35" s="2">
        <f t="shared" ref="AC35:AC36" si="16">U35-Y35</f>
        <v>0.49832116918674874</v>
      </c>
      <c r="AD35" s="2">
        <f t="shared" ref="AD35:AD36" si="17">V35-Z35</f>
        <v>-0.3347590442251781</v>
      </c>
    </row>
    <row r="36" spans="5:30" x14ac:dyDescent="0.25">
      <c r="L36" s="6">
        <v>-1</v>
      </c>
      <c r="M36" s="6">
        <v>0</v>
      </c>
      <c r="N36" s="6">
        <v>1</v>
      </c>
      <c r="O36" s="6">
        <v>0</v>
      </c>
      <c r="P36" s="7">
        <v>-4</v>
      </c>
      <c r="R36" s="5">
        <v>2</v>
      </c>
      <c r="S36" s="5">
        <v>0</v>
      </c>
      <c r="U36" s="5">
        <f t="shared" si="14"/>
        <v>0.49832116918674874</v>
      </c>
      <c r="V36" s="5">
        <f t="shared" si="15"/>
        <v>9.0030573170380462E-2</v>
      </c>
      <c r="Y36" s="4">
        <v>1</v>
      </c>
      <c r="Z36" s="4">
        <v>0</v>
      </c>
      <c r="AC36" s="2">
        <f t="shared" si="16"/>
        <v>-0.50167883081325126</v>
      </c>
      <c r="AD36" s="2">
        <f t="shared" si="17"/>
        <v>9.0030573170380462E-2</v>
      </c>
    </row>
    <row r="37" spans="5:30" x14ac:dyDescent="0.25">
      <c r="U37" t="s">
        <v>15</v>
      </c>
      <c r="Y37" t="s">
        <v>16</v>
      </c>
    </row>
    <row r="38" spans="5:30" x14ac:dyDescent="0.25">
      <c r="AC38" t="s">
        <v>21</v>
      </c>
    </row>
    <row r="39" spans="5:30" x14ac:dyDescent="0.25">
      <c r="R39">
        <f>EXP(R34)</f>
        <v>4.9787068367863944E-2</v>
      </c>
      <c r="S39">
        <f>EXP(S34)</f>
        <v>2.7182818284590451</v>
      </c>
      <c r="U39" t="s">
        <v>20</v>
      </c>
    </row>
    <row r="40" spans="5:30" x14ac:dyDescent="0.25">
      <c r="R40">
        <f t="shared" ref="R40:S40" si="18">EXP(R35)</f>
        <v>7.3890560989306504</v>
      </c>
      <c r="S40">
        <f t="shared" si="18"/>
        <v>7.3890560989306504</v>
      </c>
    </row>
    <row r="41" spans="5:30" x14ac:dyDescent="0.25">
      <c r="R41" s="8">
        <f t="shared" ref="R41:S41" si="19">EXP(R36)</f>
        <v>7.3890560989306504</v>
      </c>
      <c r="S41" s="8">
        <f t="shared" si="19"/>
        <v>1</v>
      </c>
    </row>
    <row r="42" spans="5:30" x14ac:dyDescent="0.25">
      <c r="R42">
        <f>SUM(R39:R41)</f>
        <v>14.827899266229164</v>
      </c>
      <c r="S42">
        <f>SUM(S39:S41)</f>
        <v>11.107337927389695</v>
      </c>
    </row>
  </sheetData>
  <phoneticPr fontId="4" type="noConversion"/>
  <pageMargins left="0.7" right="0.7" top="0.75" bottom="0.75" header="0.3" footer="0.3"/>
  <headerFooter>
    <oddFooter>&amp;C_x000D_&amp;1#&amp;"Calibri"&amp;10&amp;K000000 SLB-Private</oddFooter>
  </headerFooter>
  <drawing r:id="rId1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dcterms:created xsi:type="dcterms:W3CDTF">2024-09-28T10:21:55Z</dcterms:created>
  <dcterms:modified xsi:type="dcterms:W3CDTF">2024-09-28T13:24:54Z</dcterms:modified>
</cp:coreProperties>
</file>