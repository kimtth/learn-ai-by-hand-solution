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0" documentId="8_{B9D28CF7-CCA6-445A-898E-938A16468BF3}" xr6:coauthVersionLast="47" xr6:coauthVersionMax="47" xr10:uidLastSave="{00000000-0000-0000-0000-000000000000}"/>
  <bookViews>
    <workbookView xWindow="-120" yWindow="-120" windowWidth="20730" windowHeight="11310" xr2:uid="{FA836CC5-DC2F-4752-B919-E5D19D8E6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 a="1"/>
  <c r="J18" i="1" s="1"/>
  <c r="T8" i="1" s="1"/>
  <c r="P18" i="1"/>
  <c r="J37" i="1" a="1"/>
  <c r="J37" i="1" s="1"/>
  <c r="J24" i="1" a="1"/>
  <c r="J24" i="1" s="1"/>
  <c r="P12" i="1" s="1" a="1"/>
  <c r="P12" i="1" s="1"/>
  <c r="V10" i="1" l="1"/>
  <c r="U8" i="1"/>
  <c r="T10" i="1"/>
  <c r="T9" i="1"/>
  <c r="W8" i="1"/>
  <c r="V9" i="1"/>
  <c r="V8" i="1"/>
  <c r="U10" i="1"/>
  <c r="U9" i="1"/>
  <c r="W10" i="1"/>
  <c r="W9" i="1"/>
  <c r="T12" i="1" l="1" a="1"/>
  <c r="T12" i="1" s="1"/>
  <c r="T18" i="1" s="1"/>
  <c r="T24" i="1" s="1"/>
  <c r="V18" i="1" l="1"/>
  <c r="V24" i="1" s="1"/>
  <c r="U20" i="1"/>
  <c r="U26" i="1" s="1"/>
  <c r="U18" i="1"/>
  <c r="U24" i="1" s="1"/>
  <c r="T21" i="1"/>
  <c r="T27" i="1" s="1"/>
  <c r="W20" i="1"/>
  <c r="W26" i="1" s="1"/>
  <c r="T19" i="1"/>
  <c r="T25" i="1" s="1"/>
  <c r="W21" i="1"/>
  <c r="W27" i="1" s="1"/>
  <c r="U19" i="1"/>
  <c r="U25" i="1" s="1"/>
  <c r="U21" i="1"/>
  <c r="U27" i="1" s="1"/>
  <c r="T20" i="1"/>
  <c r="T26" i="1" s="1"/>
  <c r="V19" i="1"/>
  <c r="V25" i="1" s="1"/>
  <c r="W19" i="1"/>
  <c r="W25" i="1" s="1"/>
  <c r="W18" i="1"/>
  <c r="W24" i="1" s="1"/>
  <c r="V20" i="1"/>
  <c r="V26" i="1" s="1"/>
  <c r="V21" i="1"/>
  <c r="V27" i="1" s="1"/>
  <c r="U29" i="1" l="1"/>
  <c r="U32" i="1" s="1"/>
  <c r="W29" i="1"/>
  <c r="W34" i="1" s="1"/>
  <c r="V29" i="1"/>
  <c r="V31" i="1" s="1"/>
  <c r="T29" i="1"/>
  <c r="T32" i="1" s="1"/>
  <c r="U31" i="1"/>
  <c r="U33" i="1"/>
  <c r="W32" i="1" l="1"/>
  <c r="T33" i="1"/>
  <c r="W33" i="1"/>
  <c r="V33" i="1"/>
  <c r="V32" i="1"/>
  <c r="U34" i="1"/>
  <c r="V34" i="1"/>
  <c r="T31" i="1"/>
  <c r="T37" i="1" s="1" a="1"/>
  <c r="T37" i="1" s="1"/>
  <c r="T34" i="1"/>
  <c r="W3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<sst xmlns="http://schemas.openxmlformats.org/spreadsheetml/2006/main" count="53" uniqueCount="49">
  <si>
    <t>Self-attention</t>
  </si>
  <si>
    <t>Exercise: Transform 6D Features to 3D Attention Weighted Features</t>
  </si>
  <si>
    <t>Given : 4 feature vectors (6-D): x1,x2,x3,x4</t>
  </si>
  <si>
    <t>x1</t>
  </si>
  <si>
    <t>x2</t>
  </si>
  <si>
    <t>x3</t>
  </si>
  <si>
    <t>x4</t>
  </si>
  <si>
    <t>Query Matrix</t>
  </si>
  <si>
    <t>Key Matrix</t>
  </si>
  <si>
    <t>Value Matrix</t>
  </si>
  <si>
    <t>Query vectors</t>
  </si>
  <si>
    <t>q1</t>
  </si>
  <si>
    <t>q2</t>
  </si>
  <si>
    <t>q3</t>
  </si>
  <si>
    <t>q4</t>
  </si>
  <si>
    <t>Key vectors</t>
  </si>
  <si>
    <t>k1</t>
  </si>
  <si>
    <t>k2</t>
  </si>
  <si>
    <t>k3</t>
  </si>
  <si>
    <t>k4</t>
  </si>
  <si>
    <t>Value vectors</t>
  </si>
  <si>
    <t>v1</t>
  </si>
  <si>
    <t>v2</t>
  </si>
  <si>
    <t>v3</t>
  </si>
  <si>
    <t>v4</t>
  </si>
  <si>
    <t>Use Linear transformation matrices WQ, WK, and WV, to obtain query vectors (q1,q2,q3,q4), key vectors (k1,k2,k3,k4), and value vectors (v1,v2,v3,v4).</t>
  </si>
  <si>
    <t>k1T</t>
  </si>
  <si>
    <t>k2T</t>
  </si>
  <si>
    <t>k3T</t>
  </si>
  <si>
    <t>k4T</t>
  </si>
  <si>
    <t>Transpose Key vector</t>
  </si>
  <si>
    <t>Copy Query vectors matrix</t>
  </si>
  <si>
    <t>Mat Mult kT x Q</t>
  </si>
  <si>
    <t>Scale each element by the square root of dk, which is the dimension of key vectors (dk=3). ↳ The purpose is to normalize the impact of the dk on matching scores, even if we scale dk to 32, 64, or 128. ↳ To simplify hand calculation, we approximate [ □/sqrt(3) ] with [ floor(□/2) ].</t>
  </si>
  <si>
    <t>Dim: 3x4</t>
  </si>
  <si>
    <t>Softmax e^x</t>
  </si>
  <si>
    <t>Softmax sum</t>
  </si>
  <si>
    <t>Normalize</t>
  </si>
  <si>
    <t>Attention weight matrix</t>
  </si>
  <si>
    <t>Wv</t>
  </si>
  <si>
    <t>Wk</t>
  </si>
  <si>
    <t>Wq</t>
  </si>
  <si>
    <t>z1</t>
  </si>
  <si>
    <t>z2</t>
  </si>
  <si>
    <t>z3</t>
  </si>
  <si>
    <t>z4</t>
  </si>
  <si>
    <t>A</t>
  </si>
  <si>
    <t>Attention weithed features</t>
  </si>
  <si>
    <t>fed to the position-wise feed forward network in the next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</si>
</sst>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Aptos Narrow"/>
      <family val="2"/>
      <scheme val="minor"/>
    </font>
    <font>
      <sz val="13"/>
      <color rgb="FF0F1419"/>
      <name val="Segoe UI"/>
      <family val="2"/>
    </font>
    <font>
      <sz val="10"/>
      <color rgb="FF0F141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0" borderId="0" xfId="0" applyBorder="1"/>
    <xf numFmtId="0" fontId="0" fillId="0" borderId="0" xfId="0" applyAlignment="1">
      <alignment horizontal="right"/>
    </xf>
    <xf numFmtId="0" fontId="0" fillId="2" borderId="0" xfId="0" applyFill="1"/>
    <xf numFmtId="1" fontId="0" fillId="0" borderId="1" xfId="0" applyNumberFormat="1" applyBorder="1"/>
    <xf numFmtId="1" fontId="0" fillId="0" borderId="0" xfId="0" applyNumberFormat="1"/>
    <xf numFmtId="0" fontId="0" fillId="3" borderId="1" xfId="0" applyFill="1" applyBorder="1"/>
    <xf numFmtId="168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457200</xdr:colOff>
      <xdr:row>4</xdr:row>
      <xdr:rowOff>171450</xdr:rowOff>
    </xdr:from>
    <xdr:to>
      <xdr:col>34</xdr:col>
      <xdr:colOff>389862</xdr:colOff>
      <xdr:row>39</xdr:row>
      <xdr:rowOff>84890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037F3E-4E16-1A62-C08A-6790172C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1575" y="981075"/>
          <a:ext cx="5304762" cy="6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1EB1-400B-44BB-A28E-3266C4ED5684}">
  <dimension ref="B2:AC40"/>
  <sheetViews>
    <sheetView tabSelected="1" workbookViewId="0">
      <selection activeCell="O7" sqref="O7"/>
    </sheetView>
  </sheetViews>
  <sheetFormatPr defaultRowHeight="15" x14ac:dyDescent="0.25"/>
  <cols>
    <col min="3" max="8" width="3.5703125" customWidth="1"/>
    <col min="10" max="14" width="5" customWidth="1"/>
    <col min="16" max="18" width="4.28515625" customWidth="1"/>
    <col min="19" max="19" width="5.7109375" customWidth="1"/>
    <col min="20" max="23" width="5.85546875" customWidth="1"/>
    <col min="26" max="29" width="4.140625" customWidth="1"/>
  </cols>
  <sheetData>
    <row r="2" spans="2:23" ht="18.75" x14ac:dyDescent="0.35">
      <c r="B2" s="1" t="s">
        <v>0</v>
      </c>
    </row>
    <row r="3" spans="2:23" x14ac:dyDescent="0.25">
      <c r="B3" t="s">
        <v>1</v>
      </c>
    </row>
    <row r="5" spans="2:23" ht="18.75" x14ac:dyDescent="0.35">
      <c r="B5" s="1" t="s">
        <v>2</v>
      </c>
    </row>
    <row r="6" spans="2:23" x14ac:dyDescent="0.25">
      <c r="T6" t="s">
        <v>31</v>
      </c>
    </row>
    <row r="7" spans="2:23" x14ac:dyDescent="0.25">
      <c r="J7" t="s">
        <v>3</v>
      </c>
      <c r="K7" t="s">
        <v>4</v>
      </c>
      <c r="L7" t="s">
        <v>5</v>
      </c>
      <c r="M7" t="s">
        <v>6</v>
      </c>
      <c r="T7" t="s">
        <v>11</v>
      </c>
      <c r="U7" t="s">
        <v>12</v>
      </c>
      <c r="V7" t="s">
        <v>13</v>
      </c>
      <c r="W7" t="s">
        <v>14</v>
      </c>
    </row>
    <row r="8" spans="2:23" x14ac:dyDescent="0.25">
      <c r="J8" s="2">
        <v>2</v>
      </c>
      <c r="K8" s="2">
        <v>0</v>
      </c>
      <c r="L8" s="2">
        <v>0</v>
      </c>
      <c r="M8" s="2">
        <v>2</v>
      </c>
      <c r="N8" s="4"/>
      <c r="T8" s="2">
        <f>J18</f>
        <v>2</v>
      </c>
      <c r="U8" s="2">
        <f t="shared" ref="U8:W8" si="0">K18</f>
        <v>1</v>
      </c>
      <c r="V8" s="2">
        <f t="shared" si="0"/>
        <v>0</v>
      </c>
      <c r="W8" s="2">
        <f t="shared" si="0"/>
        <v>2</v>
      </c>
    </row>
    <row r="9" spans="2:23" x14ac:dyDescent="0.25">
      <c r="J9" s="2">
        <v>0</v>
      </c>
      <c r="K9" s="2">
        <v>1</v>
      </c>
      <c r="L9" s="2">
        <v>0</v>
      </c>
      <c r="M9" s="2">
        <v>0</v>
      </c>
      <c r="N9" s="4"/>
      <c r="T9" s="2">
        <f t="shared" ref="T9:T10" si="1">J19</f>
        <v>0</v>
      </c>
      <c r="U9" s="2">
        <f t="shared" ref="U9:U10" si="2">K19</f>
        <v>1</v>
      </c>
      <c r="V9" s="2">
        <f t="shared" ref="V9:V10" si="3">L19</f>
        <v>1</v>
      </c>
      <c r="W9" s="2">
        <f t="shared" ref="W9:W10" si="4">M19</f>
        <v>1</v>
      </c>
    </row>
    <row r="10" spans="2:23" x14ac:dyDescent="0.25">
      <c r="J10" s="2">
        <v>0</v>
      </c>
      <c r="K10" s="2">
        <v>2</v>
      </c>
      <c r="L10" s="2">
        <v>1</v>
      </c>
      <c r="M10" s="2">
        <v>0</v>
      </c>
      <c r="N10" s="4"/>
      <c r="T10" s="2">
        <f t="shared" si="1"/>
        <v>3</v>
      </c>
      <c r="U10" s="2">
        <f t="shared" si="2"/>
        <v>2</v>
      </c>
      <c r="V10" s="2">
        <f t="shared" si="3"/>
        <v>2</v>
      </c>
      <c r="W10" s="2">
        <f t="shared" si="4"/>
        <v>1</v>
      </c>
    </row>
    <row r="11" spans="2:23" x14ac:dyDescent="0.25">
      <c r="J11" s="2">
        <v>0</v>
      </c>
      <c r="K11" s="2">
        <v>0</v>
      </c>
      <c r="L11" s="2">
        <v>1</v>
      </c>
      <c r="M11" s="2">
        <v>1</v>
      </c>
      <c r="N11" s="4"/>
      <c r="O11" t="s">
        <v>30</v>
      </c>
      <c r="T11" t="s">
        <v>32</v>
      </c>
    </row>
    <row r="12" spans="2:23" x14ac:dyDescent="0.25">
      <c r="J12" s="2">
        <v>2</v>
      </c>
      <c r="K12" s="2">
        <v>0</v>
      </c>
      <c r="L12" s="2">
        <v>0</v>
      </c>
      <c r="M12" s="2">
        <v>0</v>
      </c>
      <c r="N12" s="4"/>
      <c r="O12" s="5" t="s">
        <v>26</v>
      </c>
      <c r="P12" s="2" cm="1">
        <f t="array" ref="P12:R15">TRANSPOSE(J24:M26)</f>
        <v>0</v>
      </c>
      <c r="Q12" s="2">
        <v>0</v>
      </c>
      <c r="R12" s="2">
        <v>1</v>
      </c>
      <c r="T12" s="2" cm="1">
        <f t="array" ref="T12:W15">MMULT(P12:R15,T8:W10)</f>
        <v>3</v>
      </c>
      <c r="U12" s="2">
        <v>2</v>
      </c>
      <c r="V12" s="2">
        <v>2</v>
      </c>
      <c r="W12" s="2">
        <v>1</v>
      </c>
    </row>
    <row r="13" spans="2:23" x14ac:dyDescent="0.25">
      <c r="J13" s="2">
        <v>1</v>
      </c>
      <c r="K13" s="2">
        <v>0</v>
      </c>
      <c r="L13" s="2">
        <v>1</v>
      </c>
      <c r="M13" s="2">
        <v>1</v>
      </c>
      <c r="N13" s="4"/>
      <c r="O13" s="5" t="s">
        <v>27</v>
      </c>
      <c r="P13" s="2">
        <v>2</v>
      </c>
      <c r="Q13" s="2">
        <v>1</v>
      </c>
      <c r="R13" s="2">
        <v>0</v>
      </c>
      <c r="T13" s="2">
        <v>4</v>
      </c>
      <c r="U13" s="2">
        <v>3</v>
      </c>
      <c r="V13" s="2">
        <v>1</v>
      </c>
      <c r="W13" s="2">
        <v>5</v>
      </c>
    </row>
    <row r="14" spans="2:23" x14ac:dyDescent="0.25">
      <c r="O14" s="5" t="s">
        <v>28</v>
      </c>
      <c r="P14" s="2">
        <v>1</v>
      </c>
      <c r="Q14" s="2">
        <v>0</v>
      </c>
      <c r="R14" s="2">
        <v>-1</v>
      </c>
      <c r="T14" s="2">
        <v>-1</v>
      </c>
      <c r="U14" s="2">
        <v>-1</v>
      </c>
      <c r="V14" s="2">
        <v>-2</v>
      </c>
      <c r="W14" s="2">
        <v>1</v>
      </c>
    </row>
    <row r="15" spans="2:23" x14ac:dyDescent="0.25">
      <c r="B15" s="3" t="s">
        <v>25</v>
      </c>
      <c r="O15" s="5" t="s">
        <v>29</v>
      </c>
      <c r="P15" s="2">
        <v>0</v>
      </c>
      <c r="Q15" s="2">
        <v>0</v>
      </c>
      <c r="R15" s="2">
        <v>1</v>
      </c>
      <c r="T15" s="2">
        <v>3</v>
      </c>
      <c r="U15" s="2">
        <v>2</v>
      </c>
      <c r="V15" s="2">
        <v>2</v>
      </c>
      <c r="W15" s="2">
        <v>1</v>
      </c>
    </row>
    <row r="16" spans="2:23" x14ac:dyDescent="0.25">
      <c r="J16" t="s">
        <v>10</v>
      </c>
    </row>
    <row r="17" spans="2:29" ht="18.75" x14ac:dyDescent="0.35">
      <c r="B17" t="s">
        <v>41</v>
      </c>
      <c r="C17" t="s">
        <v>7</v>
      </c>
      <c r="J17" t="s">
        <v>11</v>
      </c>
      <c r="K17" t="s">
        <v>12</v>
      </c>
      <c r="L17" t="s">
        <v>13</v>
      </c>
      <c r="M17" t="s">
        <v>14</v>
      </c>
      <c r="P17" s="1" t="s">
        <v>33</v>
      </c>
    </row>
    <row r="18" spans="2:29" x14ac:dyDescent="0.25">
      <c r="C18" s="2">
        <v>1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J18" s="2" cm="1">
        <f t="array" ref="J18:M20">MMULT(C18:H20,J8:M13)</f>
        <v>2</v>
      </c>
      <c r="K18" s="2">
        <v>1</v>
      </c>
      <c r="L18" s="2">
        <v>0</v>
      </c>
      <c r="M18" s="2">
        <v>2</v>
      </c>
      <c r="N18" s="4"/>
      <c r="P18" s="6">
        <f>1/SQRT(3)</f>
        <v>0.57735026918962584</v>
      </c>
      <c r="T18" s="7">
        <f>T12*$P$18</f>
        <v>1.7320508075688776</v>
      </c>
      <c r="U18" s="7">
        <f t="shared" ref="U18:W18" si="5">U12*$P$18</f>
        <v>1.1547005383792517</v>
      </c>
      <c r="V18" s="7">
        <f t="shared" si="5"/>
        <v>1.1547005383792517</v>
      </c>
      <c r="W18" s="7">
        <f t="shared" si="5"/>
        <v>0.57735026918962584</v>
      </c>
      <c r="Z18" s="8"/>
      <c r="AA18" s="8"/>
      <c r="AB18" s="8"/>
      <c r="AC18" s="8"/>
    </row>
    <row r="19" spans="2:29" x14ac:dyDescent="0.25">
      <c r="C19" s="2">
        <v>0</v>
      </c>
      <c r="D19" s="2">
        <v>1</v>
      </c>
      <c r="E19" s="2">
        <v>0</v>
      </c>
      <c r="F19" s="2">
        <v>1</v>
      </c>
      <c r="G19" s="2">
        <v>0</v>
      </c>
      <c r="H19" s="2">
        <v>0</v>
      </c>
      <c r="J19" s="2">
        <v>0</v>
      </c>
      <c r="K19" s="2">
        <v>1</v>
      </c>
      <c r="L19" s="2">
        <v>1</v>
      </c>
      <c r="M19" s="2">
        <v>1</v>
      </c>
      <c r="N19" s="4"/>
      <c r="T19" s="7">
        <f t="shared" ref="T19:W19" si="6">T13*$P$18</f>
        <v>2.3094010767585034</v>
      </c>
      <c r="U19" s="7">
        <f t="shared" si="6"/>
        <v>1.7320508075688776</v>
      </c>
      <c r="V19" s="7">
        <f t="shared" si="6"/>
        <v>0.57735026918962584</v>
      </c>
      <c r="W19" s="7">
        <f t="shared" si="6"/>
        <v>2.8867513459481291</v>
      </c>
      <c r="Z19" s="8"/>
      <c r="AA19" s="8"/>
      <c r="AB19" s="8"/>
      <c r="AC19" s="8"/>
    </row>
    <row r="20" spans="2:29" x14ac:dyDescent="0.25">
      <c r="C20" s="2">
        <v>0</v>
      </c>
      <c r="D20" s="2">
        <v>0</v>
      </c>
      <c r="E20" s="2">
        <v>1</v>
      </c>
      <c r="F20" s="2">
        <v>0</v>
      </c>
      <c r="G20" s="2">
        <v>1</v>
      </c>
      <c r="H20" s="2">
        <v>1</v>
      </c>
      <c r="J20" s="2">
        <v>3</v>
      </c>
      <c r="K20" s="2">
        <v>2</v>
      </c>
      <c r="L20" s="2">
        <v>2</v>
      </c>
      <c r="M20" s="2">
        <v>1</v>
      </c>
      <c r="N20" s="4"/>
      <c r="T20" s="7">
        <f t="shared" ref="T20:W20" si="7">T14*$P$18</f>
        <v>-0.57735026918962584</v>
      </c>
      <c r="U20" s="7">
        <f t="shared" si="7"/>
        <v>-0.57735026918962584</v>
      </c>
      <c r="V20" s="7">
        <f t="shared" si="7"/>
        <v>-1.1547005383792517</v>
      </c>
      <c r="W20" s="7">
        <f t="shared" si="7"/>
        <v>0.57735026918962584</v>
      </c>
      <c r="Z20" s="8"/>
      <c r="AA20" s="8"/>
      <c r="AB20" s="8"/>
      <c r="AC20" s="8"/>
    </row>
    <row r="21" spans="2:29" x14ac:dyDescent="0.25">
      <c r="T21" s="7">
        <f t="shared" ref="T21:W21" si="8">T15*$P$18</f>
        <v>1.7320508075688776</v>
      </c>
      <c r="U21" s="7">
        <f t="shared" si="8"/>
        <v>1.1547005383792517</v>
      </c>
      <c r="V21" s="7">
        <f t="shared" si="8"/>
        <v>1.1547005383792517</v>
      </c>
      <c r="W21" s="7">
        <f t="shared" si="8"/>
        <v>0.57735026918962584</v>
      </c>
      <c r="Z21" s="8"/>
      <c r="AA21" s="8"/>
      <c r="AB21" s="8"/>
      <c r="AC21" s="8"/>
    </row>
    <row r="22" spans="2:29" x14ac:dyDescent="0.25">
      <c r="J22" t="s">
        <v>15</v>
      </c>
    </row>
    <row r="23" spans="2:29" x14ac:dyDescent="0.25">
      <c r="B23" t="s">
        <v>40</v>
      </c>
      <c r="C23" t="s">
        <v>8</v>
      </c>
      <c r="J23" t="s">
        <v>16</v>
      </c>
      <c r="K23" t="s">
        <v>17</v>
      </c>
      <c r="L23" t="s">
        <v>18</v>
      </c>
      <c r="M23" t="s">
        <v>19</v>
      </c>
      <c r="P23" t="s">
        <v>35</v>
      </c>
    </row>
    <row r="24" spans="2:29" x14ac:dyDescent="0.25"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J24" s="2" cm="1">
        <f t="array" ref="J24:M26">MMULT(C24:H26,J8:M13)</f>
        <v>0</v>
      </c>
      <c r="K24" s="2">
        <v>2</v>
      </c>
      <c r="L24" s="2">
        <v>1</v>
      </c>
      <c r="M24" s="2">
        <v>0</v>
      </c>
      <c r="N24" s="4"/>
      <c r="T24" s="7">
        <f>EXP(T18)</f>
        <v>5.6522336740340942</v>
      </c>
      <c r="U24" s="7">
        <f t="shared" ref="U24:W24" si="9">EXP(U18)</f>
        <v>3.1730730616353542</v>
      </c>
      <c r="V24" s="7">
        <f t="shared" si="9"/>
        <v>3.1730730616353542</v>
      </c>
      <c r="W24" s="7">
        <f t="shared" si="9"/>
        <v>1.7813121741108027</v>
      </c>
    </row>
    <row r="25" spans="2:29" x14ac:dyDescent="0.25"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J25" s="2">
        <v>0</v>
      </c>
      <c r="K25" s="2">
        <v>1</v>
      </c>
      <c r="L25" s="2">
        <v>0</v>
      </c>
      <c r="M25" s="2">
        <v>0</v>
      </c>
      <c r="N25" s="4"/>
      <c r="T25" s="7">
        <f t="shared" ref="T25:W25" si="10">EXP(T19)</f>
        <v>10.068392654475961</v>
      </c>
      <c r="U25" s="7">
        <f t="shared" si="10"/>
        <v>5.6522336740340942</v>
      </c>
      <c r="V25" s="7">
        <f t="shared" si="10"/>
        <v>1.7813121741108027</v>
      </c>
      <c r="W25" s="7">
        <f t="shared" si="10"/>
        <v>17.934950409145806</v>
      </c>
    </row>
    <row r="26" spans="2:29" x14ac:dyDescent="0.25"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-1</v>
      </c>
      <c r="J26" s="2">
        <v>1</v>
      </c>
      <c r="K26" s="2">
        <v>0</v>
      </c>
      <c r="L26" s="2">
        <v>-1</v>
      </c>
      <c r="M26" s="2">
        <v>1</v>
      </c>
      <c r="N26" s="4"/>
      <c r="T26" s="7">
        <f t="shared" ref="T26:W26" si="11">EXP(T20)</f>
        <v>0.56138391379892816</v>
      </c>
      <c r="U26" s="7">
        <f t="shared" si="11"/>
        <v>0.56138391379892816</v>
      </c>
      <c r="V26" s="7">
        <f t="shared" si="11"/>
        <v>0.31515189867220234</v>
      </c>
      <c r="W26" s="7">
        <f t="shared" si="11"/>
        <v>1.7813121741108027</v>
      </c>
    </row>
    <row r="27" spans="2:29" x14ac:dyDescent="0.25">
      <c r="J27" t="s">
        <v>34</v>
      </c>
      <c r="T27" s="7">
        <f t="shared" ref="T27:W27" si="12">EXP(T21)</f>
        <v>5.6522336740340942</v>
      </c>
      <c r="U27" s="7">
        <f t="shared" si="12"/>
        <v>3.1730730616353542</v>
      </c>
      <c r="V27" s="7">
        <f t="shared" si="12"/>
        <v>3.1730730616353542</v>
      </c>
      <c r="W27" s="7">
        <f t="shared" si="12"/>
        <v>1.7813121741108027</v>
      </c>
    </row>
    <row r="29" spans="2:29" x14ac:dyDescent="0.25">
      <c r="P29" t="s">
        <v>36</v>
      </c>
      <c r="T29" s="7">
        <f>SUM(T24:T27)</f>
        <v>21.934243916343075</v>
      </c>
      <c r="U29" s="7">
        <f t="shared" ref="U29:W29" si="13">SUM(U24:U27)</f>
        <v>12.559763711103731</v>
      </c>
      <c r="V29" s="7">
        <f t="shared" si="13"/>
        <v>8.4426101960537139</v>
      </c>
      <c r="W29" s="7">
        <f t="shared" si="13"/>
        <v>23.278886931478212</v>
      </c>
    </row>
    <row r="31" spans="2:29" x14ac:dyDescent="0.25">
      <c r="P31" t="s">
        <v>37</v>
      </c>
      <c r="T31" s="9">
        <f>T24/T$29</f>
        <v>0.25768992519603778</v>
      </c>
      <c r="U31" s="9">
        <f>U24/U$29</f>
        <v>0.25263795837417946</v>
      </c>
      <c r="V31" s="9">
        <f t="shared" ref="V31:W31" si="14">V24/V$29</f>
        <v>0.37584028966758737</v>
      </c>
      <c r="W31" s="9">
        <f t="shared" si="14"/>
        <v>7.652050458229058E-2</v>
      </c>
    </row>
    <row r="32" spans="2:29" x14ac:dyDescent="0.25">
      <c r="N32" s="4"/>
      <c r="P32" t="s">
        <v>38</v>
      </c>
      <c r="T32" s="9">
        <f t="shared" ref="T32:W32" si="15">T25/T$29</f>
        <v>0.45902620089740415</v>
      </c>
      <c r="U32" s="9">
        <f t="shared" si="15"/>
        <v>0.45002707089442412</v>
      </c>
      <c r="V32" s="9">
        <f t="shared" si="15"/>
        <v>0.21099069277691304</v>
      </c>
      <c r="W32" s="9">
        <f t="shared" si="15"/>
        <v>0.77043848625312839</v>
      </c>
    </row>
    <row r="33" spans="2:23" x14ac:dyDescent="0.25">
      <c r="N33" s="4"/>
      <c r="P33" t="s">
        <v>46</v>
      </c>
      <c r="T33" s="9">
        <f t="shared" ref="T33:W33" si="16">T26/T$29</f>
        <v>2.5593948710520373E-2</v>
      </c>
      <c r="U33" s="9">
        <f t="shared" si="16"/>
        <v>4.4697012357216924E-2</v>
      </c>
      <c r="V33" s="9">
        <f t="shared" si="16"/>
        <v>3.7328727887912222E-2</v>
      </c>
      <c r="W33" s="9">
        <f t="shared" si="16"/>
        <v>7.652050458229058E-2</v>
      </c>
    </row>
    <row r="34" spans="2:23" x14ac:dyDescent="0.25">
      <c r="N34" s="4"/>
      <c r="T34" s="9">
        <f t="shared" ref="T34:W34" si="17">T27/T$29</f>
        <v>0.25768992519603778</v>
      </c>
      <c r="U34" s="9">
        <f t="shared" si="17"/>
        <v>0.25263795837417946</v>
      </c>
      <c r="V34" s="9">
        <f t="shared" si="17"/>
        <v>0.37584028966758737</v>
      </c>
      <c r="W34" s="9">
        <f t="shared" si="17"/>
        <v>7.652050458229058E-2</v>
      </c>
    </row>
    <row r="35" spans="2:23" x14ac:dyDescent="0.25">
      <c r="J35" t="s">
        <v>20</v>
      </c>
      <c r="N35" s="4"/>
    </row>
    <row r="36" spans="2:23" x14ac:dyDescent="0.25">
      <c r="B36" t="s">
        <v>39</v>
      </c>
      <c r="C36" t="s">
        <v>9</v>
      </c>
      <c r="J36" t="s">
        <v>21</v>
      </c>
      <c r="K36" t="s">
        <v>22</v>
      </c>
      <c r="L36" t="s">
        <v>23</v>
      </c>
      <c r="M36" t="s">
        <v>24</v>
      </c>
      <c r="T36" t="s">
        <v>42</v>
      </c>
      <c r="U36" t="s">
        <v>43</v>
      </c>
      <c r="V36" t="s">
        <v>44</v>
      </c>
      <c r="W36" t="s">
        <v>45</v>
      </c>
    </row>
    <row r="37" spans="2:23" x14ac:dyDescent="0.25">
      <c r="C37" s="2">
        <v>10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J37" s="2" cm="1">
        <f t="array" ref="J37:M39">MMULT(C37:H39,J8:M13)</f>
        <v>20</v>
      </c>
      <c r="K37" s="2">
        <v>0</v>
      </c>
      <c r="L37" s="2">
        <v>0</v>
      </c>
      <c r="M37" s="2">
        <v>20</v>
      </c>
      <c r="P37" t="s">
        <v>47</v>
      </c>
      <c r="T37" s="10" cm="1">
        <f t="array" ref="T37:W39">MMULT(J37:M39,T31:W34)</f>
        <v>10.307597007841512</v>
      </c>
      <c r="U37" s="10">
        <v>10.105518334967179</v>
      </c>
      <c r="V37" s="10">
        <v>15.033611586703495</v>
      </c>
      <c r="W37" s="10">
        <v>3.0608201832916233</v>
      </c>
    </row>
    <row r="38" spans="2:23" x14ac:dyDescent="0.25">
      <c r="C38" s="2">
        <v>0</v>
      </c>
      <c r="D38" s="2">
        <v>0</v>
      </c>
      <c r="E38" s="2">
        <v>0</v>
      </c>
      <c r="F38" s="2">
        <v>10</v>
      </c>
      <c r="G38" s="2">
        <v>0</v>
      </c>
      <c r="H38" s="2">
        <v>0</v>
      </c>
      <c r="J38" s="2">
        <v>0</v>
      </c>
      <c r="K38" s="2">
        <v>0</v>
      </c>
      <c r="L38" s="2">
        <v>10</v>
      </c>
      <c r="M38" s="2">
        <v>10</v>
      </c>
      <c r="T38" s="10">
        <v>2.8328387390655818</v>
      </c>
      <c r="U38" s="10">
        <v>2.9733497073139641</v>
      </c>
      <c r="V38" s="10">
        <v>4.1316901755549962</v>
      </c>
      <c r="W38" s="10">
        <v>1.5304100916458117</v>
      </c>
    </row>
    <row r="39" spans="2:23" x14ac:dyDescent="0.25">
      <c r="C39" s="2">
        <v>0</v>
      </c>
      <c r="D39" s="2">
        <v>10</v>
      </c>
      <c r="E39" s="2">
        <v>0</v>
      </c>
      <c r="F39" s="2">
        <v>0</v>
      </c>
      <c r="G39" s="2">
        <v>0</v>
      </c>
      <c r="H39" s="2">
        <v>0</v>
      </c>
      <c r="J39" s="2">
        <v>0</v>
      </c>
      <c r="K39" s="2">
        <v>10</v>
      </c>
      <c r="L39" s="2">
        <v>0</v>
      </c>
      <c r="M39" s="2">
        <v>0</v>
      </c>
      <c r="T39" s="10">
        <v>4.5902620089740411</v>
      </c>
      <c r="U39" s="10">
        <v>4.5002707089442415</v>
      </c>
      <c r="V39" s="10">
        <v>2.1099069277691305</v>
      </c>
      <c r="W39" s="10">
        <v>7.7043848625312839</v>
      </c>
    </row>
    <row r="40" spans="2:23" x14ac:dyDescent="0.25">
      <c r="T40" t="s">
        <v>48</v>
      </c>
    </row>
  </sheetData>
  <pageMargins left="0.7" right="0.7" top="0.75" bottom="0.75" header="0.3" footer="0.3"/>
  <pageSetup orientation="portrait" r:id="rId1"/>
  <headerFooter>
    <oddFooter>&amp;C_x000D_&amp;1#&amp;"Calibri"&amp;10&amp;K000000 SLB-Private</oddFooter>
  </headerFooter>
  <drawing r:id="rId2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2024-06-29T08:44:29Z</dcterms:created>
  <dcterms:modified xsi:type="dcterms:W3CDTF">2024-06-29T11:03:05Z</dcterms:modified>
</cp:coreProperties>
</file>