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28" documentId="8_{03F9107F-86D4-4D75-8F82-43A502CC08D5}" xr6:coauthVersionLast="47" xr6:coauthVersionMax="47" xr10:uidLastSave="{CC50CE8B-6BE0-4A75-B4DB-D3BD8AB63DEA}"/>
  <bookViews>
    <workbookView xWindow="-120" yWindow="-120" windowWidth="20730" windowHeight="11310" xr2:uid="{E8EAF273-F806-47F7-BC35-8FD2E0957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K79" i="1" s="1"/>
  <c r="O12" i="1"/>
  <c r="L79" i="1" s="1"/>
  <c r="M13" i="1"/>
  <c r="J80" i="1" s="1"/>
  <c r="N13" i="1"/>
  <c r="O13" i="1"/>
  <c r="M14" i="1"/>
  <c r="J81" i="1" s="1"/>
  <c r="N14" i="1"/>
  <c r="K81" i="1" s="1"/>
  <c r="O14" i="1"/>
  <c r="M15" i="1"/>
  <c r="J82" i="1" s="1"/>
  <c r="N15" i="1"/>
  <c r="K82" i="1" s="1"/>
  <c r="O15" i="1"/>
  <c r="L82" i="1" s="1"/>
  <c r="J79" i="1"/>
  <c r="Q68" i="1"/>
  <c r="M69" i="1"/>
  <c r="M98" i="1" s="1"/>
  <c r="M70" i="1"/>
  <c r="M99" i="1" s="1"/>
  <c r="M68" i="1"/>
  <c r="M97" i="1" s="1"/>
  <c r="J63" i="1"/>
  <c r="J53" i="1"/>
  <c r="J54" i="1"/>
  <c r="J52" i="1"/>
  <c r="R13" i="1"/>
  <c r="R14" i="1"/>
  <c r="R12" i="1"/>
  <c r="K80" i="1"/>
  <c r="L80" i="1"/>
  <c r="L81" i="1"/>
  <c r="J103" i="1" l="1" a="1"/>
  <c r="J18" i="1" a="1"/>
  <c r="J18" i="1" s="1"/>
  <c r="J19" i="1" s="1"/>
  <c r="J23" i="1" s="1"/>
  <c r="M45" i="1" l="1"/>
  <c r="N68" i="1" s="1"/>
  <c r="O68" i="1" s="1"/>
  <c r="O97" i="1" s="1"/>
  <c r="J103" i="1"/>
  <c r="K19" i="1"/>
  <c r="L19" i="1"/>
  <c r="N97" i="1" l="1"/>
  <c r="L23" i="1"/>
  <c r="M47" i="1" s="1"/>
  <c r="N70" i="1" s="1"/>
  <c r="K23" i="1"/>
  <c r="M46" i="1" s="1"/>
  <c r="N69" i="1" s="1"/>
  <c r="N99" i="1" l="1"/>
  <c r="O70" i="1"/>
  <c r="O99" i="1" s="1"/>
  <c r="J30" i="1" a="1"/>
  <c r="J30" i="1" s="1"/>
  <c r="J31" i="1" s="1"/>
  <c r="J35" i="1" s="1"/>
  <c r="K45" i="1" s="1"/>
  <c r="O69" i="1"/>
  <c r="O98" i="1" s="1"/>
  <c r="N98" i="1"/>
  <c r="K47" i="1" l="1"/>
  <c r="L47" i="1" s="1"/>
  <c r="L70" i="1" s="1"/>
  <c r="L99" i="1" s="1"/>
  <c r="J40" i="1"/>
  <c r="J46" i="1" s="1"/>
  <c r="J69" i="1" s="1"/>
  <c r="J98" i="1" s="1"/>
  <c r="L45" i="1"/>
  <c r="L68" i="1" s="1"/>
  <c r="L97" i="1" s="1"/>
  <c r="K68" i="1"/>
  <c r="K97" i="1" s="1"/>
  <c r="K46" i="1"/>
  <c r="L46" i="1" s="1"/>
  <c r="L69" i="1" s="1"/>
  <c r="L98" i="1" s="1"/>
  <c r="K70" i="1"/>
  <c r="K99" i="1" s="1"/>
  <c r="L59" i="1"/>
  <c r="K59" i="1"/>
  <c r="J45" i="1"/>
  <c r="J68" i="1" s="1"/>
  <c r="L40" i="1"/>
  <c r="J47" i="1"/>
  <c r="K69" i="1" l="1"/>
  <c r="K98" i="1" s="1"/>
  <c r="O103" i="1"/>
  <c r="P98" i="1"/>
  <c r="L104" i="1" s="1"/>
  <c r="M104" i="1" s="1"/>
  <c r="S13" i="1" s="1"/>
  <c r="P68" i="1"/>
  <c r="J72" i="1" s="1"/>
  <c r="P75" i="1" s="1"/>
  <c r="O82" i="1" s="1"/>
  <c r="N87" i="1" s="1"/>
  <c r="N92" i="1" s="1"/>
  <c r="E20" i="1" s="1"/>
  <c r="J97" i="1"/>
  <c r="P97" i="1" s="1"/>
  <c r="L103" i="1" s="1"/>
  <c r="M103" i="1" s="1"/>
  <c r="S12" i="1" s="1"/>
  <c r="N46" i="1"/>
  <c r="L53" i="1" s="1"/>
  <c r="M53" i="1" s="1"/>
  <c r="L27" i="1" s="1"/>
  <c r="P69" i="1"/>
  <c r="N47" i="1"/>
  <c r="L54" i="1" s="1"/>
  <c r="M54" i="1" s="1"/>
  <c r="L28" i="1" s="1"/>
  <c r="J70" i="1"/>
  <c r="N45" i="1"/>
  <c r="L52" i="1" s="1"/>
  <c r="M52" i="1" s="1"/>
  <c r="L26" i="1" s="1"/>
  <c r="J59" i="1"/>
  <c r="M59" i="1" s="1"/>
  <c r="L63" i="1" s="1"/>
  <c r="M63" i="1" s="1"/>
  <c r="P26" i="1" s="1"/>
  <c r="P70" i="1" l="1"/>
  <c r="L72" i="1" s="1"/>
  <c r="J99" i="1"/>
  <c r="P99" i="1" s="1"/>
  <c r="L105" i="1" s="1"/>
  <c r="M105" i="1" s="1"/>
  <c r="S14" i="1" s="1"/>
  <c r="P73" i="1"/>
  <c r="O80" i="1" s="1"/>
  <c r="N85" i="1" s="1"/>
  <c r="N90" i="1" s="1"/>
  <c r="E18" i="1" s="1"/>
  <c r="P74" i="1"/>
  <c r="O81" i="1" s="1"/>
  <c r="N86" i="1" s="1"/>
  <c r="N91" i="1" s="1"/>
  <c r="E19" i="1" s="1"/>
  <c r="P72" i="1"/>
  <c r="O79" i="1" s="1"/>
  <c r="N84" i="1" s="1"/>
  <c r="N89" i="1" s="1"/>
  <c r="E17" i="1" s="1"/>
  <c r="K72" i="1"/>
  <c r="Q72" i="1" s="1"/>
  <c r="R74" i="1" l="1"/>
  <c r="Q81" i="1" s="1"/>
  <c r="P86" i="1" s="1"/>
  <c r="P91" i="1" s="1"/>
  <c r="G19" i="1" s="1"/>
  <c r="R75" i="1"/>
  <c r="Q82" i="1" s="1"/>
  <c r="P87" i="1" s="1"/>
  <c r="P92" i="1" s="1"/>
  <c r="G20" i="1" s="1"/>
  <c r="Q74" i="1"/>
  <c r="P81" i="1" s="1"/>
  <c r="O86" i="1" s="1"/>
  <c r="O91" i="1" s="1"/>
  <c r="F19" i="1" s="1"/>
  <c r="Q75" i="1"/>
  <c r="P82" i="1" s="1"/>
  <c r="O87" i="1" s="1"/>
  <c r="O92" i="1" s="1"/>
  <c r="F20" i="1" s="1"/>
  <c r="R72" i="1"/>
  <c r="Q79" i="1" s="1"/>
  <c r="P84" i="1" s="1"/>
  <c r="P89" i="1" s="1"/>
  <c r="G17" i="1" s="1"/>
  <c r="R73" i="1"/>
  <c r="Q80" i="1" s="1"/>
  <c r="P85" i="1" s="1"/>
  <c r="P90" i="1" s="1"/>
  <c r="G18" i="1" s="1"/>
  <c r="P79" i="1"/>
  <c r="O84" i="1" s="1"/>
  <c r="O89" i="1" s="1"/>
  <c r="F17" i="1" s="1"/>
  <c r="Q73" i="1"/>
  <c r="P80" i="1" s="1"/>
  <c r="O85" i="1" s="1"/>
  <c r="O90" i="1" s="1"/>
  <c r="F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<sst xmlns="http://schemas.openxmlformats.org/spreadsheetml/2006/main" count="105" uniqueCount="79">
  <si>
    <t>one input vector V= [X1=1, X2= 0, X3=1, X4=0] with a single hidden layer consisting of 3 neurons and an output layer. The target output is 1.</t>
  </si>
  <si>
    <t>Input vector</t>
  </si>
  <si>
    <t>X1</t>
  </si>
  <si>
    <t>X2</t>
  </si>
  <si>
    <t>X3</t>
  </si>
  <si>
    <t>X4</t>
  </si>
  <si>
    <t>Target Output</t>
  </si>
  <si>
    <t>Feed forward</t>
  </si>
  <si>
    <r>
      <t>First step is to initialize weights and biases using </t>
    </r>
    <r>
      <rPr>
        <b/>
        <sz val="10"/>
        <color rgb="FF242424"/>
        <rFont val="Georgia"/>
        <family val="1"/>
      </rPr>
      <t>rand()</t>
    </r>
    <r>
      <rPr>
        <sz val="10"/>
        <color rgb="FF242424"/>
        <rFont val="Georgia"/>
        <family val="1"/>
      </rPr>
      <t> function in MS Excel.</t>
    </r>
  </si>
  <si>
    <t>https://towardsdatascience.com/demystifying-feed-forward-and-back-propagation-using-ms-excel-30f5aeefcfc7</t>
  </si>
  <si>
    <t>Weigths:input to hidden layer</t>
  </si>
  <si>
    <t>w11</t>
  </si>
  <si>
    <t>w21</t>
  </si>
  <si>
    <t>w31</t>
  </si>
  <si>
    <t>w41</t>
  </si>
  <si>
    <t>w12</t>
  </si>
  <si>
    <t>w13</t>
  </si>
  <si>
    <t>w22</t>
  </si>
  <si>
    <t>w23</t>
  </si>
  <si>
    <t>w32</t>
  </si>
  <si>
    <t>w33</t>
  </si>
  <si>
    <t>w42</t>
  </si>
  <si>
    <t>w43</t>
  </si>
  <si>
    <t>Bias at Hidden layer</t>
  </si>
  <si>
    <t>BH1</t>
  </si>
  <si>
    <t>Bh2</t>
  </si>
  <si>
    <t>BH3</t>
  </si>
  <si>
    <t>Hidden layer</t>
  </si>
  <si>
    <t>Inputx Weights</t>
  </si>
  <si>
    <t>+ Bias</t>
  </si>
  <si>
    <t>Pass the Net Inputs through the activation function (Sigmoid): f(x) = 1/(1+exp (-x)) in MS Excel</t>
  </si>
  <si>
    <t>Hidden layer output</t>
  </si>
  <si>
    <t>Weights : Hiddden to Output layer</t>
  </si>
  <si>
    <t>Bias at Output</t>
  </si>
  <si>
    <t>wH1</t>
  </si>
  <si>
    <t>wH2</t>
  </si>
  <si>
    <t>wH3</t>
  </si>
  <si>
    <t>B0</t>
  </si>
  <si>
    <t>Hidden layer output x weights</t>
  </si>
  <si>
    <t>Net input at Output (+ B0)</t>
  </si>
  <si>
    <t>Feed forward network output</t>
  </si>
  <si>
    <t>Use the activation function f(x)=1/(1+exp(-x))</t>
  </si>
  <si>
    <t>Back propagation</t>
  </si>
  <si>
    <t>network output</t>
  </si>
  <si>
    <t>Target output</t>
  </si>
  <si>
    <t>E</t>
  </si>
  <si>
    <t>Output difference</t>
  </si>
  <si>
    <t>f(x)</t>
  </si>
  <si>
    <t>1-f(x)</t>
  </si>
  <si>
    <t>Inputs (Ouput hidden layer)</t>
  </si>
  <si>
    <t>d(E)/dWHj</t>
  </si>
  <si>
    <r>
      <t>The new updated weights will be </t>
    </r>
    <r>
      <rPr>
        <b/>
        <sz val="10"/>
        <color rgb="FF242424"/>
        <rFont val="Georgia"/>
        <family val="1"/>
      </rPr>
      <t>[Initial weights] — [{(learning rate)* [d(E)/d(wH1), d(E)/d(wH2), d(E)/d(wH3)]}],</t>
    </r>
    <r>
      <rPr>
        <sz val="10"/>
        <color rgb="FF242424"/>
        <rFont val="Georgia"/>
        <family val="1"/>
      </rPr>
      <t> where, learning rate is assumed to be 0.5</t>
    </r>
  </si>
  <si>
    <t>Initial weights</t>
  </si>
  <si>
    <t>Learning rate</t>
  </si>
  <si>
    <t>New weights</t>
  </si>
  <si>
    <t>Update bias BO at Output node</t>
  </si>
  <si>
    <t>Sigmoid derivative</t>
  </si>
  <si>
    <t>d(E)/d(B0)</t>
  </si>
  <si>
    <r>
      <t>New updated Bias [BO]</t>
    </r>
    <r>
      <rPr>
        <i/>
        <sz val="10"/>
        <color rgb="FF242424"/>
        <rFont val="Georgia"/>
        <family val="1"/>
      </rPr>
      <t>new</t>
    </r>
    <r>
      <rPr>
        <sz val="10"/>
        <color rgb="FF242424"/>
        <rFont val="Georgia"/>
        <family val="1"/>
      </rPr>
      <t> = [Initial Bias] — [learning rate *{d(E)/d(BO)}]</t>
    </r>
  </si>
  <si>
    <t>Initial Bias</t>
  </si>
  <si>
    <t>LR</t>
  </si>
  <si>
    <t>Updated Bias at Output</t>
  </si>
  <si>
    <t>Update weights [w11, w12, ……w43]</t>
  </si>
  <si>
    <t>Sigmoid der at Output</t>
  </si>
  <si>
    <t>Sig der at Hidden nodes</t>
  </si>
  <si>
    <t>Initial weigths</t>
  </si>
  <si>
    <t>Derivative of sigmoid function f(x) = [f(x)*(1-f(x)] at Output</t>
  </si>
  <si>
    <t>produce</t>
  </si>
  <si>
    <t>Product</t>
  </si>
  <si>
    <t>d (E) / d(wij)</t>
  </si>
  <si>
    <t>New updated weights = [Initial weights] — [learning rate * (d(E)/dwij)]</t>
  </si>
  <si>
    <t>LR x d (E) / d(wij)</t>
  </si>
  <si>
    <t>New updated weights</t>
  </si>
  <si>
    <t>Update the bias [BH1,BH2,BH3]</t>
  </si>
  <si>
    <t>d (E) / d(BHi)</t>
  </si>
  <si>
    <t>New updated biases = [Initial bias] — [learning rate * (d(E)/d(BHi))]</t>
  </si>
  <si>
    <t>New updated Biases</t>
  </si>
  <si>
    <r>
      <t>Find the optimal weights and biases that can minimise the sum of square error: </t>
    </r>
    <r>
      <rPr>
        <i/>
        <sz val="10"/>
        <color rgb="FF242424"/>
        <rFont val="Georgia"/>
        <family val="1"/>
      </rPr>
      <t>E=1/2 ∑ (Network output-Target output)² </t>
    </r>
    <r>
      <rPr>
        <sz val="10"/>
        <color rgb="FF242424"/>
        <rFont val="Georgia"/>
        <family val="1"/>
      </rPr>
      <t>received by the network, which in this case = [0.5*(-0.13)²] = 0.00798</t>
    </r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</si>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</sst>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42424"/>
      <name val="Georgia"/>
      <family val="1"/>
    </font>
    <font>
      <b/>
      <sz val="10"/>
      <color rgb="FF242424"/>
      <name val="Georgia"/>
      <family val="1"/>
    </font>
    <font>
      <sz val="8"/>
      <name val="Aptos Narrow"/>
      <family val="2"/>
      <scheme val="minor"/>
    </font>
    <font>
      <sz val="10"/>
      <color rgb="FF242424"/>
      <name val="Arial"/>
      <family val="2"/>
    </font>
    <font>
      <b/>
      <sz val="10"/>
      <color rgb="FF242424"/>
      <name val="Arial"/>
      <family val="2"/>
    </font>
    <font>
      <sz val="10"/>
      <color rgb="FF242424"/>
      <name val="Arial"/>
      <family val="2"/>
    </font>
    <font>
      <b/>
      <sz val="16"/>
      <color theme="1"/>
      <name val="Arial"/>
      <family val="2"/>
    </font>
    <font>
      <i/>
      <sz val="10"/>
      <color rgb="FF242424"/>
      <name val="Georgia"/>
      <family val="1"/>
    </font>
    <font>
      <b/>
      <i/>
      <sz val="15"/>
      <color rgb="FF242424"/>
      <name val="Georgia"/>
      <family val="1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0" xfId="0" quotePrefix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2" fontId="7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0" xfId="0" applyFont="1"/>
    <xf numFmtId="0" fontId="1" fillId="0" borderId="1" xfId="0" applyFont="1" applyBorder="1"/>
    <xf numFmtId="0" fontId="6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164" fontId="0" fillId="0" borderId="1" xfId="0" applyNumberFormat="1" applyBorder="1"/>
    <xf numFmtId="0" fontId="0" fillId="2" borderId="0" xfId="0" applyFill="1"/>
    <xf numFmtId="0" fontId="0" fillId="2" borderId="1" xfId="0" applyFill="1" applyBorder="1"/>
    <xf numFmtId="2" fontId="0" fillId="2" borderId="1" xfId="0" applyNumberFormat="1" applyFill="1" applyBorder="1"/>
    <xf numFmtId="2" fontId="0" fillId="3" borderId="1" xfId="0" applyNumberFormat="1" applyFill="1" applyBorder="1"/>
    <xf numFmtId="0" fontId="1" fillId="3" borderId="1" xfId="0" applyFont="1" applyFill="1" applyBorder="1"/>
    <xf numFmtId="2" fontId="0" fillId="2" borderId="0" xfId="0" applyNumberFormat="1" applyFill="1"/>
    <xf numFmtId="0" fontId="0" fillId="4" borderId="1" xfId="0" applyFill="1" applyBorder="1" applyAlignment="1">
      <alignment horizontal="center"/>
    </xf>
    <xf numFmtId="0" fontId="1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1</xdr:row>
      <xdr:rowOff>45232</xdr:rowOff>
    </xdr:from>
    <xdr:to>
      <xdr:col>7</xdr:col>
      <xdr:colOff>552451</xdr:colOff>
      <xdr:row>14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336CC-7E12-58B6-E7D0-27BBF1C6B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1" y="235732"/>
          <a:ext cx="4286250" cy="2640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wardsdatascience.com/demystifying-feed-forward-and-back-propagation-using-ms-excel-30f5aeefcfc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81D4-0CB8-4E76-A4CC-7201522446B8}">
  <dimension ref="A1:T105"/>
  <sheetViews>
    <sheetView tabSelected="1" workbookViewId="0">
      <selection activeCell="P8" sqref="P8"/>
    </sheetView>
  </sheetViews>
  <sheetFormatPr defaultRowHeight="15" x14ac:dyDescent="0.25"/>
  <sheetData>
    <row r="1" spans="2:19" x14ac:dyDescent="0.25">
      <c r="B1" s="27" t="s">
        <v>9</v>
      </c>
    </row>
    <row r="2" spans="2:19" x14ac:dyDescent="0.25">
      <c r="J2" s="1" t="s">
        <v>0</v>
      </c>
    </row>
    <row r="4" spans="2:19" x14ac:dyDescent="0.25">
      <c r="J4" s="11" t="s">
        <v>1</v>
      </c>
      <c r="K4" s="11"/>
      <c r="L4" s="11"/>
      <c r="M4" s="11"/>
      <c r="O4" t="s">
        <v>6</v>
      </c>
    </row>
    <row r="5" spans="2:19" x14ac:dyDescent="0.25">
      <c r="J5" s="14" t="s">
        <v>2</v>
      </c>
      <c r="K5" s="14" t="s">
        <v>3</v>
      </c>
      <c r="L5" s="14" t="s">
        <v>4</v>
      </c>
      <c r="M5" s="14" t="s">
        <v>5</v>
      </c>
    </row>
    <row r="6" spans="2:19" x14ac:dyDescent="0.25">
      <c r="J6" s="14">
        <v>1</v>
      </c>
      <c r="K6" s="14">
        <v>0</v>
      </c>
      <c r="L6" s="14">
        <v>1</v>
      </c>
      <c r="M6" s="14">
        <v>0</v>
      </c>
      <c r="O6" s="2">
        <v>1</v>
      </c>
    </row>
    <row r="8" spans="2:19" ht="20.25" x14ac:dyDescent="0.3">
      <c r="J8" s="16" t="s">
        <v>7</v>
      </c>
    </row>
    <row r="9" spans="2:19" x14ac:dyDescent="0.25">
      <c r="J9" s="1" t="s">
        <v>8</v>
      </c>
    </row>
    <row r="11" spans="2:19" x14ac:dyDescent="0.25">
      <c r="J11" t="s">
        <v>10</v>
      </c>
      <c r="Q11" t="s">
        <v>23</v>
      </c>
    </row>
    <row r="12" spans="2:19" x14ac:dyDescent="0.25">
      <c r="J12" s="2" t="s">
        <v>11</v>
      </c>
      <c r="K12" s="2" t="s">
        <v>15</v>
      </c>
      <c r="L12" s="2" t="s">
        <v>16</v>
      </c>
      <c r="M12" s="23">
        <f ca="1">RAND()</f>
        <v>0.95519876548128546</v>
      </c>
      <c r="N12" s="23">
        <f t="shared" ref="N12:O15" ca="1" si="0">RAND()</f>
        <v>4.9099447674730512E-2</v>
      </c>
      <c r="O12" s="23">
        <f t="shared" ca="1" si="0"/>
        <v>0.74118767222223481</v>
      </c>
      <c r="Q12" s="2" t="s">
        <v>24</v>
      </c>
      <c r="R12" s="23">
        <f ca="1">RAND()</f>
        <v>0.87652419147014837</v>
      </c>
      <c r="S12" s="20">
        <f ca="1">M103</f>
        <v>0.87675660202702044</v>
      </c>
    </row>
    <row r="13" spans="2:19" x14ac:dyDescent="0.25">
      <c r="J13" s="2" t="s">
        <v>12</v>
      </c>
      <c r="K13" s="2" t="s">
        <v>17</v>
      </c>
      <c r="L13" s="2" t="s">
        <v>18</v>
      </c>
      <c r="M13" s="23">
        <f t="shared" ref="M13:M15" ca="1" si="1">RAND()</f>
        <v>0.8651605002978171</v>
      </c>
      <c r="N13" s="23">
        <f t="shared" ca="1" si="0"/>
        <v>0.43447827992559107</v>
      </c>
      <c r="O13" s="23">
        <f t="shared" ca="1" si="0"/>
        <v>6.0382747471336207E-2</v>
      </c>
      <c r="Q13" s="2" t="s">
        <v>25</v>
      </c>
      <c r="R13" s="23">
        <f t="shared" ref="R13:R14" ca="1" si="2">RAND()</f>
        <v>8.1017026979840256E-2</v>
      </c>
      <c r="S13" s="20">
        <f t="shared" ref="S13:S14" ca="1" si="3">M104</f>
        <v>8.122538010313872E-2</v>
      </c>
    </row>
    <row r="14" spans="2:19" x14ac:dyDescent="0.25">
      <c r="J14" s="2" t="s">
        <v>13</v>
      </c>
      <c r="K14" s="2" t="s">
        <v>19</v>
      </c>
      <c r="L14" s="2" t="s">
        <v>20</v>
      </c>
      <c r="M14" s="23">
        <f t="shared" ca="1" si="1"/>
        <v>0.85281628607555582</v>
      </c>
      <c r="N14" s="23">
        <f t="shared" ca="1" si="0"/>
        <v>0.31657191907291893</v>
      </c>
      <c r="O14" s="23">
        <f t="shared" ca="1" si="0"/>
        <v>0.94522223058051447</v>
      </c>
      <c r="Q14" s="2" t="s">
        <v>26</v>
      </c>
      <c r="R14" s="23">
        <f t="shared" ca="1" si="2"/>
        <v>0.10800928908086516</v>
      </c>
      <c r="S14" s="20">
        <f t="shared" ca="1" si="3"/>
        <v>0.10839055729838637</v>
      </c>
    </row>
    <row r="15" spans="2:19" x14ac:dyDescent="0.25">
      <c r="J15" s="2" t="s">
        <v>14</v>
      </c>
      <c r="K15" s="2" t="s">
        <v>21</v>
      </c>
      <c r="L15" s="2" t="s">
        <v>22</v>
      </c>
      <c r="M15" s="23">
        <f t="shared" ca="1" si="1"/>
        <v>0.53521580802186519</v>
      </c>
      <c r="N15" s="23">
        <f t="shared" ca="1" si="0"/>
        <v>0.66307674675380202</v>
      </c>
      <c r="O15" s="23">
        <f t="shared" ca="1" si="0"/>
        <v>0.43978610018458286</v>
      </c>
    </row>
    <row r="17" spans="5:16" x14ac:dyDescent="0.25">
      <c r="E17" s="25">
        <f ca="1">N89</f>
        <v>0.95543117603815753</v>
      </c>
      <c r="F17" s="25">
        <f t="shared" ref="F17:G17" ca="1" si="4">O89</f>
        <v>4.9307800798028975E-2</v>
      </c>
      <c r="G17" s="25">
        <f t="shared" ca="1" si="4"/>
        <v>0.74156894043975596</v>
      </c>
      <c r="J17" t="s">
        <v>27</v>
      </c>
    </row>
    <row r="18" spans="5:16" x14ac:dyDescent="0.25">
      <c r="E18" s="25">
        <f t="shared" ref="E18:E20" ca="1" si="5">N90</f>
        <v>0.8651605002978171</v>
      </c>
      <c r="F18" s="25">
        <f t="shared" ref="F18:F20" ca="1" si="6">O90</f>
        <v>0.43447827992559107</v>
      </c>
      <c r="G18" s="25">
        <f t="shared" ref="G18:G20" ca="1" si="7">P90</f>
        <v>6.0382747471336207E-2</v>
      </c>
      <c r="J18" s="4" cm="1">
        <f t="array" aca="1" ref="J18:L18" ca="1">MMULT(J6:M6,M12:O15)</f>
        <v>1.8080150515568412</v>
      </c>
      <c r="K18" s="4">
        <f ca="1"/>
        <v>0.36567136674764944</v>
      </c>
      <c r="L18" s="4">
        <f ca="1"/>
        <v>1.6864099028027493</v>
      </c>
      <c r="M18" t="s">
        <v>28</v>
      </c>
    </row>
    <row r="19" spans="5:16" x14ac:dyDescent="0.25">
      <c r="E19" s="25">
        <f t="shared" ca="1" si="5"/>
        <v>0.85304869663242788</v>
      </c>
      <c r="F19" s="25">
        <f t="shared" ca="1" si="6"/>
        <v>0.31678027219621741</v>
      </c>
      <c r="G19" s="25">
        <f t="shared" ca="1" si="7"/>
        <v>0.94560349879803562</v>
      </c>
      <c r="J19" s="4">
        <f ca="1">J18+R12</f>
        <v>2.6845392430269897</v>
      </c>
      <c r="K19" s="4">
        <f ca="1">K18+R13</f>
        <v>0.4466883937274897</v>
      </c>
      <c r="L19" s="4">
        <f ca="1">L18+R14</f>
        <v>1.7944191918836143</v>
      </c>
      <c r="M19" s="5" t="s">
        <v>29</v>
      </c>
    </row>
    <row r="20" spans="5:16" x14ac:dyDescent="0.25">
      <c r="E20" s="25">
        <f t="shared" ca="1" si="5"/>
        <v>0.53521580802186519</v>
      </c>
      <c r="F20" s="25">
        <f t="shared" ca="1" si="6"/>
        <v>0.66307674675380202</v>
      </c>
      <c r="G20" s="25">
        <f t="shared" ca="1" si="7"/>
        <v>0.43978610018458286</v>
      </c>
    </row>
    <row r="21" spans="5:16" x14ac:dyDescent="0.25">
      <c r="J21" s="8" t="s">
        <v>30</v>
      </c>
    </row>
    <row r="22" spans="5:16" x14ac:dyDescent="0.25">
      <c r="J22" s="8" t="s">
        <v>31</v>
      </c>
    </row>
    <row r="23" spans="5:16" x14ac:dyDescent="0.25">
      <c r="J23" s="9">
        <f ca="1">1/(1+EXP(-J19))</f>
        <v>0.93610815230659539</v>
      </c>
      <c r="K23" s="9">
        <f ca="1">1/(1+EXP(-K19))</f>
        <v>0.60985158201545286</v>
      </c>
      <c r="L23" s="9">
        <f ca="1">1/(1+EXP(-L19))</f>
        <v>0.8574682282059366</v>
      </c>
    </row>
    <row r="24" spans="5:16" x14ac:dyDescent="0.25">
      <c r="J24" s="6"/>
    </row>
    <row r="25" spans="5:16" x14ac:dyDescent="0.25">
      <c r="J25" s="6" t="s">
        <v>32</v>
      </c>
      <c r="N25" s="11" t="s">
        <v>33</v>
      </c>
      <c r="O25" s="11"/>
    </row>
    <row r="26" spans="5:16" x14ac:dyDescent="0.25">
      <c r="J26" s="13" t="s">
        <v>34</v>
      </c>
      <c r="K26" s="24">
        <v>0.71</v>
      </c>
      <c r="L26" s="20">
        <f ca="1">M52</f>
        <v>0.71512332675158596</v>
      </c>
      <c r="N26" s="12" t="s">
        <v>37</v>
      </c>
      <c r="O26" s="24">
        <v>0.83</v>
      </c>
      <c r="P26" s="20">
        <f ca="1">M63</f>
        <v>0.83547300730045138</v>
      </c>
    </row>
    <row r="27" spans="5:16" x14ac:dyDescent="0.25">
      <c r="J27" s="13" t="s">
        <v>35</v>
      </c>
      <c r="K27" s="24">
        <v>0.16</v>
      </c>
      <c r="L27" s="20">
        <f t="shared" ref="L27:L28" ca="1" si="8">M53</f>
        <v>0.16333772216056239</v>
      </c>
    </row>
    <row r="28" spans="5:16" x14ac:dyDescent="0.25">
      <c r="J28" s="13" t="s">
        <v>36</v>
      </c>
      <c r="K28" s="24">
        <v>0.56999999999999995</v>
      </c>
      <c r="L28" s="20">
        <f t="shared" ca="1" si="8"/>
        <v>0.57469292987287612</v>
      </c>
    </row>
    <row r="29" spans="5:16" x14ac:dyDescent="0.25">
      <c r="J29" s="6"/>
    </row>
    <row r="30" spans="5:16" x14ac:dyDescent="0.25">
      <c r="J30" s="15" cm="1">
        <f t="array" aca="1" ref="J30" ca="1">MMULT(J23:L23,K26:K28)</f>
        <v>1.2509699313375389</v>
      </c>
      <c r="K30" t="s">
        <v>38</v>
      </c>
    </row>
    <row r="31" spans="5:16" x14ac:dyDescent="0.25">
      <c r="J31" s="15">
        <f ca="1">J30+O26</f>
        <v>2.0809699313375387</v>
      </c>
      <c r="K31" t="s">
        <v>39</v>
      </c>
    </row>
    <row r="32" spans="5:16" x14ac:dyDescent="0.25">
      <c r="J32" s="6"/>
    </row>
    <row r="33" spans="1:14" x14ac:dyDescent="0.25">
      <c r="J33" s="8" t="s">
        <v>41</v>
      </c>
    </row>
    <row r="34" spans="1:14" x14ac:dyDescent="0.25">
      <c r="J34" s="8" t="s">
        <v>40</v>
      </c>
    </row>
    <row r="35" spans="1:14" x14ac:dyDescent="0.25">
      <c r="J35" s="10">
        <f ca="1">1/(1+EXP(-J31))</f>
        <v>0.88903975125584811</v>
      </c>
    </row>
    <row r="37" spans="1:14" ht="20.25" x14ac:dyDescent="0.3">
      <c r="J37" s="16" t="s">
        <v>42</v>
      </c>
    </row>
    <row r="38" spans="1:14" x14ac:dyDescent="0.25">
      <c r="A38" s="1" t="s">
        <v>77</v>
      </c>
    </row>
    <row r="39" spans="1:14" x14ac:dyDescent="0.25">
      <c r="J39" s="3" t="s">
        <v>43</v>
      </c>
      <c r="K39" s="3" t="s">
        <v>44</v>
      </c>
      <c r="L39" s="3" t="s">
        <v>45</v>
      </c>
    </row>
    <row r="40" spans="1:14" x14ac:dyDescent="0.25">
      <c r="J40" s="3">
        <f ca="1">J35</f>
        <v>0.88903975125584811</v>
      </c>
      <c r="K40" s="14">
        <v>1</v>
      </c>
      <c r="L40" s="26">
        <f ca="1">0.5*(POWER((J40-K40),2))</f>
        <v>6.1560884006820306E-3</v>
      </c>
    </row>
    <row r="41" spans="1:14" x14ac:dyDescent="0.25">
      <c r="K41" s="11"/>
    </row>
    <row r="43" spans="1:14" x14ac:dyDescent="0.25">
      <c r="J43" s="17" t="s">
        <v>66</v>
      </c>
    </row>
    <row r="44" spans="1:14" x14ac:dyDescent="0.25">
      <c r="J44" t="s">
        <v>46</v>
      </c>
      <c r="K44" t="s">
        <v>47</v>
      </c>
      <c r="L44" t="s">
        <v>48</v>
      </c>
      <c r="M44" t="s">
        <v>49</v>
      </c>
      <c r="N44" t="s">
        <v>50</v>
      </c>
    </row>
    <row r="45" spans="1:14" x14ac:dyDescent="0.25">
      <c r="J45" s="2">
        <f ca="1">J40-K40</f>
        <v>-0.11096024874415189</v>
      </c>
      <c r="K45" s="2">
        <f ca="1">J35</f>
        <v>0.88903975125584811</v>
      </c>
      <c r="L45" s="2">
        <f ca="1">1-K45</f>
        <v>0.11096024874415189</v>
      </c>
      <c r="M45" s="4">
        <f ca="1">J23</f>
        <v>0.93610815230659539</v>
      </c>
      <c r="N45" s="2">
        <f ca="1">J45*K45*L45*M45</f>
        <v>-1.0246653503172068E-2</v>
      </c>
    </row>
    <row r="46" spans="1:14" x14ac:dyDescent="0.25">
      <c r="J46" s="2">
        <f ca="1">J40-K40</f>
        <v>-0.11096024874415189</v>
      </c>
      <c r="K46" s="2">
        <f ca="1">J35</f>
        <v>0.88903975125584811</v>
      </c>
      <c r="L46" s="2">
        <f t="shared" ref="L46:L47" ca="1" si="9">1-K46</f>
        <v>0.11096024874415189</v>
      </c>
      <c r="M46" s="4">
        <f ca="1">K23</f>
        <v>0.60985158201545286</v>
      </c>
      <c r="N46" s="2">
        <f t="shared" ref="N46:N47" ca="1" si="10">J46*K46*L46*M46</f>
        <v>-6.6754443211247743E-3</v>
      </c>
    </row>
    <row r="47" spans="1:14" x14ac:dyDescent="0.25">
      <c r="J47" s="2">
        <f ca="1">J40-K40</f>
        <v>-0.11096024874415189</v>
      </c>
      <c r="K47" s="2">
        <f ca="1">J35</f>
        <v>0.88903975125584811</v>
      </c>
      <c r="L47" s="2">
        <f t="shared" ca="1" si="9"/>
        <v>0.11096024874415189</v>
      </c>
      <c r="M47" s="4">
        <f ca="1">L23</f>
        <v>0.8574682282059366</v>
      </c>
      <c r="N47" s="2">
        <f t="shared" ca="1" si="10"/>
        <v>-9.3858597457523747E-3</v>
      </c>
    </row>
    <row r="49" spans="3:13" x14ac:dyDescent="0.25">
      <c r="J49" s="1" t="s">
        <v>51</v>
      </c>
    </row>
    <row r="51" spans="3:13" x14ac:dyDescent="0.25">
      <c r="J51" t="s">
        <v>52</v>
      </c>
      <c r="K51" s="11" t="s">
        <v>53</v>
      </c>
      <c r="L51" t="s">
        <v>50</v>
      </c>
      <c r="M51" s="20" t="s">
        <v>54</v>
      </c>
    </row>
    <row r="52" spans="3:13" x14ac:dyDescent="0.25">
      <c r="J52" s="2">
        <f>K26</f>
        <v>0.71</v>
      </c>
      <c r="K52" s="12">
        <v>0.5</v>
      </c>
      <c r="L52" s="2">
        <f ca="1">N45</f>
        <v>-1.0246653503172068E-2</v>
      </c>
      <c r="M52" s="21">
        <f ca="1">J52-K52*L52</f>
        <v>0.71512332675158596</v>
      </c>
    </row>
    <row r="53" spans="3:13" ht="19.5" x14ac:dyDescent="0.3">
      <c r="C53" s="18"/>
      <c r="J53" s="2">
        <f t="shared" ref="J53:J54" si="11">K27</f>
        <v>0.16</v>
      </c>
      <c r="K53" s="12">
        <v>0.5</v>
      </c>
      <c r="L53" s="2">
        <f t="shared" ref="L53:L54" ca="1" si="12">N46</f>
        <v>-6.6754443211247743E-3</v>
      </c>
      <c r="M53" s="21">
        <f t="shared" ref="M53:M54" ca="1" si="13">J53-K53*L53</f>
        <v>0.16333772216056239</v>
      </c>
    </row>
    <row r="54" spans="3:13" x14ac:dyDescent="0.25">
      <c r="J54" s="2">
        <f t="shared" si="11"/>
        <v>0.56999999999999995</v>
      </c>
      <c r="K54" s="12">
        <v>0.5</v>
      </c>
      <c r="L54" s="2">
        <f t="shared" ca="1" si="12"/>
        <v>-9.3858597457523747E-3</v>
      </c>
      <c r="M54" s="21">
        <f t="shared" ca="1" si="13"/>
        <v>0.57469292987287612</v>
      </c>
    </row>
    <row r="56" spans="3:13" x14ac:dyDescent="0.25">
      <c r="J56" s="8" t="s">
        <v>55</v>
      </c>
    </row>
    <row r="57" spans="3:13" x14ac:dyDescent="0.25">
      <c r="J57" s="8"/>
      <c r="K57" t="s">
        <v>56</v>
      </c>
    </row>
    <row r="58" spans="3:13" x14ac:dyDescent="0.25">
      <c r="J58" t="s">
        <v>46</v>
      </c>
      <c r="K58" t="s">
        <v>47</v>
      </c>
      <c r="L58" t="s">
        <v>48</v>
      </c>
      <c r="M58" t="s">
        <v>57</v>
      </c>
    </row>
    <row r="59" spans="3:13" x14ac:dyDescent="0.25">
      <c r="J59" s="2">
        <f ca="1">J45</f>
        <v>-0.11096024874415189</v>
      </c>
      <c r="K59" s="2">
        <f ca="1">K45</f>
        <v>0.88903975125584811</v>
      </c>
      <c r="L59" s="2">
        <f ca="1">L45</f>
        <v>0.11096024874415189</v>
      </c>
      <c r="M59" s="2">
        <f ca="1">J59*K59*L59</f>
        <v>-1.0946014600902727E-2</v>
      </c>
    </row>
    <row r="61" spans="3:13" x14ac:dyDescent="0.25">
      <c r="J61" s="1" t="s">
        <v>58</v>
      </c>
    </row>
    <row r="62" spans="3:13" x14ac:dyDescent="0.25">
      <c r="J62" t="s">
        <v>59</v>
      </c>
      <c r="K62" s="11" t="s">
        <v>60</v>
      </c>
      <c r="L62" t="s">
        <v>57</v>
      </c>
      <c r="M62" s="20" t="s">
        <v>61</v>
      </c>
    </row>
    <row r="63" spans="3:13" x14ac:dyDescent="0.25">
      <c r="J63" s="2">
        <f>O26</f>
        <v>0.83</v>
      </c>
      <c r="K63" s="12">
        <v>0.5</v>
      </c>
      <c r="L63" s="2">
        <f ca="1">M59</f>
        <v>-1.0946014600902727E-2</v>
      </c>
      <c r="M63" s="21">
        <f ca="1">J63-K63*L63</f>
        <v>0.83547300730045138</v>
      </c>
    </row>
    <row r="65" spans="10:20" x14ac:dyDescent="0.25">
      <c r="J65" s="7" t="s">
        <v>62</v>
      </c>
    </row>
    <row r="66" spans="10:20" x14ac:dyDescent="0.25">
      <c r="J66" t="s">
        <v>46</v>
      </c>
      <c r="K66" t="s">
        <v>63</v>
      </c>
      <c r="M66" t="s">
        <v>65</v>
      </c>
      <c r="N66" t="s">
        <v>64</v>
      </c>
      <c r="Q66" t="s">
        <v>1</v>
      </c>
    </row>
    <row r="67" spans="10:20" x14ac:dyDescent="0.25">
      <c r="K67" t="s">
        <v>47</v>
      </c>
      <c r="L67" t="s">
        <v>48</v>
      </c>
      <c r="N67" t="s">
        <v>47</v>
      </c>
      <c r="O67" t="s">
        <v>48</v>
      </c>
      <c r="P67" t="s">
        <v>67</v>
      </c>
    </row>
    <row r="68" spans="10:20" x14ac:dyDescent="0.25">
      <c r="J68" s="4">
        <f ca="1">J45</f>
        <v>-0.11096024874415189</v>
      </c>
      <c r="K68" s="4">
        <f ca="1">K45</f>
        <v>0.88903975125584811</v>
      </c>
      <c r="L68" s="4">
        <f ca="1">L45</f>
        <v>0.11096024874415189</v>
      </c>
      <c r="M68" s="4">
        <f>K26</f>
        <v>0.71</v>
      </c>
      <c r="N68" s="4">
        <f ca="1">M45</f>
        <v>0.93610815230659539</v>
      </c>
      <c r="O68" s="4">
        <f ca="1">1-N68</f>
        <v>6.3891847693404613E-2</v>
      </c>
      <c r="P68" s="19">
        <f ca="1">J68*K68*L68*M68*N68*O68</f>
        <v>-4.6482111374414998E-4</v>
      </c>
      <c r="Q68" s="2">
        <f>J6</f>
        <v>1</v>
      </c>
      <c r="R68" s="2">
        <v>0</v>
      </c>
      <c r="S68" s="2">
        <v>1</v>
      </c>
      <c r="T68" s="2">
        <v>0</v>
      </c>
    </row>
    <row r="69" spans="10:20" x14ac:dyDescent="0.25">
      <c r="J69" s="4">
        <f t="shared" ref="J69:L70" ca="1" si="14">J46</f>
        <v>-0.11096024874415189</v>
      </c>
      <c r="K69" s="4">
        <f t="shared" ca="1" si="14"/>
        <v>0.88903975125584811</v>
      </c>
      <c r="L69" s="4">
        <f t="shared" ca="1" si="14"/>
        <v>0.11096024874415189</v>
      </c>
      <c r="M69" s="4">
        <f t="shared" ref="M69:M70" si="15">K27</f>
        <v>0.16</v>
      </c>
      <c r="N69" s="4">
        <f t="shared" ref="N69:N70" ca="1" si="16">M46</f>
        <v>0.60985158201545286</v>
      </c>
      <c r="O69" s="4">
        <f t="shared" ref="O69:O70" ca="1" si="17">1-N69</f>
        <v>0.39014841798454714</v>
      </c>
      <c r="P69" s="19">
        <f t="shared" ref="P69:P70" ca="1" si="18">J69*K69*L69*M69*N69*O69</f>
        <v>-4.1670624659692157E-4</v>
      </c>
    </row>
    <row r="70" spans="10:20" x14ac:dyDescent="0.25">
      <c r="J70" s="4">
        <f t="shared" ca="1" si="14"/>
        <v>-0.11096024874415189</v>
      </c>
      <c r="K70" s="4">
        <f t="shared" ca="1" si="14"/>
        <v>0.88903975125584811</v>
      </c>
      <c r="L70" s="4">
        <f t="shared" ca="1" si="14"/>
        <v>0.11096024874415189</v>
      </c>
      <c r="M70" s="4">
        <f t="shared" si="15"/>
        <v>0.56999999999999995</v>
      </c>
      <c r="N70" s="4">
        <f t="shared" ca="1" si="16"/>
        <v>0.8574682282059366</v>
      </c>
      <c r="O70" s="4">
        <f t="shared" ca="1" si="17"/>
        <v>0.1425317717940634</v>
      </c>
      <c r="P70" s="19">
        <f t="shared" ca="1" si="18"/>
        <v>-7.6253643504241807E-4</v>
      </c>
    </row>
    <row r="71" spans="10:20" x14ac:dyDescent="0.25">
      <c r="J71" t="s">
        <v>68</v>
      </c>
      <c r="N71" t="s">
        <v>1</v>
      </c>
      <c r="P71" t="s">
        <v>69</v>
      </c>
    </row>
    <row r="72" spans="10:20" x14ac:dyDescent="0.25">
      <c r="J72" s="19">
        <f ca="1">P68</f>
        <v>-4.6482111374414998E-4</v>
      </c>
      <c r="K72" s="19">
        <f ca="1">P69</f>
        <v>-4.1670624659692157E-4</v>
      </c>
      <c r="L72" s="19">
        <f ca="1">P70</f>
        <v>-7.6253643504241807E-4</v>
      </c>
      <c r="N72" s="2">
        <v>1</v>
      </c>
      <c r="P72" s="2">
        <f ca="1">J72*N72</f>
        <v>-4.6482111374414998E-4</v>
      </c>
      <c r="Q72" s="2">
        <f ca="1">K72*N72</f>
        <v>-4.1670624659692157E-4</v>
      </c>
      <c r="R72" s="2">
        <f ca="1">L72*N72</f>
        <v>-7.6253643504241807E-4</v>
      </c>
    </row>
    <row r="73" spans="10:20" x14ac:dyDescent="0.25">
      <c r="N73" s="2">
        <v>0</v>
      </c>
      <c r="P73" s="2">
        <f ca="1">J72*N73</f>
        <v>0</v>
      </c>
      <c r="Q73" s="2">
        <f ca="1">K72*N73</f>
        <v>0</v>
      </c>
      <c r="R73" s="2">
        <f ca="1">L72*N73</f>
        <v>0</v>
      </c>
    </row>
    <row r="74" spans="10:20" x14ac:dyDescent="0.25">
      <c r="N74" s="2">
        <v>1</v>
      </c>
      <c r="P74" s="2">
        <f ca="1">J72*N74</f>
        <v>-4.6482111374414998E-4</v>
      </c>
      <c r="Q74" s="2">
        <f ca="1">K72*N74</f>
        <v>-4.1670624659692157E-4</v>
      </c>
      <c r="R74" s="2">
        <f ca="1">L72*N74</f>
        <v>-7.6253643504241807E-4</v>
      </c>
    </row>
    <row r="75" spans="10:20" x14ac:dyDescent="0.25">
      <c r="N75" s="2">
        <v>0</v>
      </c>
      <c r="P75" s="2">
        <f ca="1">J72*N75</f>
        <v>0</v>
      </c>
      <c r="Q75" s="2">
        <f ca="1">K72*N75</f>
        <v>0</v>
      </c>
      <c r="R75" s="2">
        <f ca="1">L72*N75</f>
        <v>0</v>
      </c>
    </row>
    <row r="77" spans="10:20" x14ac:dyDescent="0.25">
      <c r="J77" s="1" t="s">
        <v>70</v>
      </c>
    </row>
    <row r="78" spans="10:20" x14ac:dyDescent="0.25">
      <c r="J78" t="s">
        <v>52</v>
      </c>
      <c r="N78" t="s">
        <v>60</v>
      </c>
      <c r="O78" t="s">
        <v>69</v>
      </c>
    </row>
    <row r="79" spans="10:20" x14ac:dyDescent="0.25">
      <c r="J79" s="4">
        <f ca="1">M12</f>
        <v>0.95519876548128546</v>
      </c>
      <c r="K79" s="4">
        <f t="shared" ref="K79:L79" ca="1" si="19">N12</f>
        <v>4.9099447674730512E-2</v>
      </c>
      <c r="L79" s="4">
        <f t="shared" ca="1" si="19"/>
        <v>0.74118767222223481</v>
      </c>
      <c r="N79" s="2">
        <v>0.5</v>
      </c>
      <c r="O79" s="2">
        <f ca="1">P72</f>
        <v>-4.6482111374414998E-4</v>
      </c>
      <c r="P79" s="2">
        <f t="shared" ref="P79:Q79" ca="1" si="20">Q72</f>
        <v>-4.1670624659692157E-4</v>
      </c>
      <c r="Q79" s="2">
        <f t="shared" ca="1" si="20"/>
        <v>-7.6253643504241807E-4</v>
      </c>
    </row>
    <row r="80" spans="10:20" x14ac:dyDescent="0.25">
      <c r="J80" s="4">
        <f t="shared" ref="J80:J82" ca="1" si="21">M13</f>
        <v>0.8651605002978171</v>
      </c>
      <c r="K80" s="4">
        <f t="shared" ref="K80:K82" ca="1" si="22">N13</f>
        <v>0.43447827992559107</v>
      </c>
      <c r="L80" s="4">
        <f t="shared" ref="L80:L82" ca="1" si="23">O13</f>
        <v>6.0382747471336207E-2</v>
      </c>
      <c r="N80" s="2">
        <v>0.5</v>
      </c>
      <c r="O80" s="2">
        <f t="shared" ref="O80:Q80" ca="1" si="24">P73</f>
        <v>0</v>
      </c>
      <c r="P80" s="2">
        <f t="shared" ca="1" si="24"/>
        <v>0</v>
      </c>
      <c r="Q80" s="2">
        <f t="shared" ca="1" si="24"/>
        <v>0</v>
      </c>
    </row>
    <row r="81" spans="10:17" x14ac:dyDescent="0.25">
      <c r="J81" s="4">
        <f t="shared" ca="1" si="21"/>
        <v>0.85281628607555582</v>
      </c>
      <c r="K81" s="4">
        <f t="shared" ca="1" si="22"/>
        <v>0.31657191907291893</v>
      </c>
      <c r="L81" s="4">
        <f t="shared" ca="1" si="23"/>
        <v>0.94522223058051447</v>
      </c>
      <c r="N81" s="2">
        <v>0.5</v>
      </c>
      <c r="O81" s="2">
        <f t="shared" ref="O81:Q81" ca="1" si="25">P74</f>
        <v>-4.6482111374414998E-4</v>
      </c>
      <c r="P81" s="2">
        <f t="shared" ca="1" si="25"/>
        <v>-4.1670624659692157E-4</v>
      </c>
      <c r="Q81" s="2">
        <f t="shared" ca="1" si="25"/>
        <v>-7.6253643504241807E-4</v>
      </c>
    </row>
    <row r="82" spans="10:17" x14ac:dyDescent="0.25">
      <c r="J82" s="4">
        <f t="shared" ca="1" si="21"/>
        <v>0.53521580802186519</v>
      </c>
      <c r="K82" s="4">
        <f t="shared" ca="1" si="22"/>
        <v>0.66307674675380202</v>
      </c>
      <c r="L82" s="4">
        <f t="shared" ca="1" si="23"/>
        <v>0.43978610018458286</v>
      </c>
      <c r="O82" s="2">
        <f t="shared" ref="O82:Q82" ca="1" si="26">P75</f>
        <v>0</v>
      </c>
      <c r="P82" s="2">
        <f t="shared" ca="1" si="26"/>
        <v>0</v>
      </c>
      <c r="Q82" s="2">
        <f t="shared" ca="1" si="26"/>
        <v>0</v>
      </c>
    </row>
    <row r="83" spans="10:17" x14ac:dyDescent="0.25">
      <c r="N83" t="s">
        <v>71</v>
      </c>
    </row>
    <row r="84" spans="10:17" x14ac:dyDescent="0.25">
      <c r="N84" s="2">
        <f ca="1">$N$79*O79</f>
        <v>-2.3241055687207499E-4</v>
      </c>
      <c r="O84" s="2">
        <f ca="1">$N$80*P79</f>
        <v>-2.0835312329846079E-4</v>
      </c>
      <c r="P84" s="2">
        <f ca="1">$N$81*Q79</f>
        <v>-3.8126821752120904E-4</v>
      </c>
    </row>
    <row r="85" spans="10:17" x14ac:dyDescent="0.25">
      <c r="N85" s="2">
        <f ca="1">$N$79*O80</f>
        <v>0</v>
      </c>
      <c r="O85" s="2">
        <f t="shared" ref="O85:O87" ca="1" si="27">$N$80*P80</f>
        <v>0</v>
      </c>
      <c r="P85" s="2">
        <f t="shared" ref="P85:P87" ca="1" si="28">$N$81*Q80</f>
        <v>0</v>
      </c>
    </row>
    <row r="86" spans="10:17" x14ac:dyDescent="0.25">
      <c r="N86" s="2">
        <f ca="1">$N$79*O81</f>
        <v>-2.3241055687207499E-4</v>
      </c>
      <c r="O86" s="2">
        <f t="shared" ca="1" si="27"/>
        <v>-2.0835312329846079E-4</v>
      </c>
      <c r="P86" s="2">
        <f t="shared" ca="1" si="28"/>
        <v>-3.8126821752120904E-4</v>
      </c>
    </row>
    <row r="87" spans="10:17" x14ac:dyDescent="0.25">
      <c r="N87" s="2">
        <f t="shared" ref="N87" ca="1" si="29">$N$79*O82</f>
        <v>0</v>
      </c>
      <c r="O87" s="2">
        <f t="shared" ca="1" si="27"/>
        <v>0</v>
      </c>
      <c r="P87" s="2">
        <f t="shared" ca="1" si="28"/>
        <v>0</v>
      </c>
    </row>
    <row r="88" spans="10:17" x14ac:dyDescent="0.25">
      <c r="N88" s="20" t="s">
        <v>72</v>
      </c>
      <c r="O88" s="20"/>
      <c r="P88" s="20"/>
    </row>
    <row r="89" spans="10:17" x14ac:dyDescent="0.25">
      <c r="N89" s="22">
        <f ca="1">J79-N84</f>
        <v>0.95543117603815753</v>
      </c>
      <c r="O89" s="22">
        <f ca="1">K79-O84</f>
        <v>4.9307800798028975E-2</v>
      </c>
      <c r="P89" s="22">
        <f t="shared" ref="P89" ca="1" si="30">L79-P84</f>
        <v>0.74156894043975596</v>
      </c>
    </row>
    <row r="90" spans="10:17" x14ac:dyDescent="0.25">
      <c r="N90" s="22">
        <f ca="1">J80-N85</f>
        <v>0.8651605002978171</v>
      </c>
      <c r="O90" s="22">
        <f t="shared" ref="O90" ca="1" si="31">K80-O85</f>
        <v>0.43447827992559107</v>
      </c>
      <c r="P90" s="22">
        <f t="shared" ref="P90:P91" ca="1" si="32">L80-P85</f>
        <v>6.0382747471336207E-2</v>
      </c>
    </row>
    <row r="91" spans="10:17" x14ac:dyDescent="0.25">
      <c r="N91" s="22">
        <f t="shared" ref="N91:O91" ca="1" si="33">J81-N86</f>
        <v>0.85304869663242788</v>
      </c>
      <c r="O91" s="22">
        <f t="shared" ca="1" si="33"/>
        <v>0.31678027219621741</v>
      </c>
      <c r="P91" s="22">
        <f t="shared" ca="1" si="32"/>
        <v>0.94560349879803562</v>
      </c>
    </row>
    <row r="92" spans="10:17" x14ac:dyDescent="0.25">
      <c r="N92" s="22">
        <f t="shared" ref="N92" ca="1" si="34">J82-N87</f>
        <v>0.53521580802186519</v>
      </c>
      <c r="O92" s="22">
        <f t="shared" ref="O92" ca="1" si="35">K82-O87</f>
        <v>0.66307674675380202</v>
      </c>
      <c r="P92" s="22">
        <f t="shared" ref="P92" ca="1" si="36">L82-P87</f>
        <v>0.43978610018458286</v>
      </c>
    </row>
    <row r="94" spans="10:17" x14ac:dyDescent="0.25">
      <c r="J94" s="6" t="s">
        <v>73</v>
      </c>
    </row>
    <row r="95" spans="10:17" x14ac:dyDescent="0.25">
      <c r="J95" t="s">
        <v>46</v>
      </c>
      <c r="K95" t="s">
        <v>63</v>
      </c>
      <c r="M95" t="s">
        <v>65</v>
      </c>
      <c r="N95" t="s">
        <v>64</v>
      </c>
    </row>
    <row r="96" spans="10:17" x14ac:dyDescent="0.25">
      <c r="K96" t="s">
        <v>47</v>
      </c>
      <c r="L96" t="s">
        <v>48</v>
      </c>
      <c r="N96" t="s">
        <v>47</v>
      </c>
      <c r="O96" t="s">
        <v>48</v>
      </c>
      <c r="P96" t="s">
        <v>74</v>
      </c>
    </row>
    <row r="97" spans="10:16" x14ac:dyDescent="0.25">
      <c r="J97" s="4">
        <f ca="1">J68</f>
        <v>-0.11096024874415189</v>
      </c>
      <c r="K97" s="4">
        <f ca="1">K68</f>
        <v>0.88903975125584811</v>
      </c>
      <c r="L97" s="4">
        <f ca="1">L68</f>
        <v>0.11096024874415189</v>
      </c>
      <c r="M97" s="4">
        <f>M68</f>
        <v>0.71</v>
      </c>
      <c r="N97" s="4">
        <f t="shared" ref="N97:O97" ca="1" si="37">N68</f>
        <v>0.93610815230659539</v>
      </c>
      <c r="O97" s="4">
        <f t="shared" ca="1" si="37"/>
        <v>6.3891847693404613E-2</v>
      </c>
      <c r="P97" s="19">
        <f ca="1">J97*K97*L97*M97*N97*O97</f>
        <v>-4.6482111374414998E-4</v>
      </c>
    </row>
    <row r="98" spans="10:16" x14ac:dyDescent="0.25">
      <c r="J98" s="4">
        <f t="shared" ref="J98:O99" ca="1" si="38">J69</f>
        <v>-0.11096024874415189</v>
      </c>
      <c r="K98" s="4">
        <f t="shared" ca="1" si="38"/>
        <v>0.88903975125584811</v>
      </c>
      <c r="L98" s="4">
        <f t="shared" ca="1" si="38"/>
        <v>0.11096024874415189</v>
      </c>
      <c r="M98" s="4">
        <f t="shared" si="38"/>
        <v>0.16</v>
      </c>
      <c r="N98" s="4">
        <f t="shared" ca="1" si="38"/>
        <v>0.60985158201545286</v>
      </c>
      <c r="O98" s="4">
        <f t="shared" ca="1" si="38"/>
        <v>0.39014841798454714</v>
      </c>
      <c r="P98" s="19">
        <f t="shared" ref="P98:P99" ca="1" si="39">J98*K98*L98*M98*N98*O98</f>
        <v>-4.1670624659692157E-4</v>
      </c>
    </row>
    <row r="99" spans="10:16" x14ac:dyDescent="0.25">
      <c r="J99" s="4">
        <f t="shared" ca="1" si="38"/>
        <v>-0.11096024874415189</v>
      </c>
      <c r="K99" s="4">
        <f t="shared" ca="1" si="38"/>
        <v>0.88903975125584811</v>
      </c>
      <c r="L99" s="4">
        <f t="shared" ca="1" si="38"/>
        <v>0.11096024874415189</v>
      </c>
      <c r="M99" s="4">
        <f t="shared" si="38"/>
        <v>0.56999999999999995</v>
      </c>
      <c r="N99" s="4">
        <f t="shared" ca="1" si="38"/>
        <v>0.8574682282059366</v>
      </c>
      <c r="O99" s="4">
        <f t="shared" ca="1" si="38"/>
        <v>0.1425317717940634</v>
      </c>
      <c r="P99" s="19">
        <f t="shared" ca="1" si="39"/>
        <v>-7.6253643504241807E-4</v>
      </c>
    </row>
    <row r="101" spans="10:16" x14ac:dyDescent="0.25">
      <c r="J101" s="1" t="s">
        <v>75</v>
      </c>
    </row>
    <row r="102" spans="10:16" x14ac:dyDescent="0.25">
      <c r="J102" s="1" t="s">
        <v>59</v>
      </c>
      <c r="K102" s="11" t="s">
        <v>60</v>
      </c>
      <c r="L102" t="s">
        <v>74</v>
      </c>
      <c r="M102" s="20" t="s">
        <v>76</v>
      </c>
      <c r="O102" t="s">
        <v>78</v>
      </c>
    </row>
    <row r="103" spans="10:16" x14ac:dyDescent="0.25">
      <c r="J103" s="4" cm="1">
        <f t="array" aca="1" ref="J103:J105" ca="1">R12:R14</f>
        <v>0.87652419147014837</v>
      </c>
      <c r="K103" s="12">
        <v>0.5</v>
      </c>
      <c r="L103" s="19">
        <f ca="1">P97</f>
        <v>-4.6482111374414998E-4</v>
      </c>
      <c r="M103" s="21">
        <f ca="1">J103-K103*L103</f>
        <v>0.87675660202702044</v>
      </c>
      <c r="O103" s="2">
        <f ca="1">L40</f>
        <v>6.1560884006820306E-3</v>
      </c>
    </row>
    <row r="104" spans="10:16" x14ac:dyDescent="0.25">
      <c r="J104" s="2">
        <f ca="1"/>
        <v>8.1017026979840256E-2</v>
      </c>
      <c r="K104" s="12">
        <v>0.5</v>
      </c>
      <c r="L104" s="19">
        <f t="shared" ref="L104:L105" ca="1" si="40">P98</f>
        <v>-4.1670624659692157E-4</v>
      </c>
      <c r="M104" s="21">
        <f t="shared" ref="M104:M105" ca="1" si="41">J104-K104*L104</f>
        <v>8.122538010313872E-2</v>
      </c>
    </row>
    <row r="105" spans="10:16" x14ac:dyDescent="0.25">
      <c r="J105" s="2">
        <f ca="1"/>
        <v>0.10800928908086516</v>
      </c>
      <c r="K105" s="12">
        <v>0.5</v>
      </c>
      <c r="L105" s="19">
        <f t="shared" ca="1" si="40"/>
        <v>-7.6253643504241807E-4</v>
      </c>
      <c r="M105" s="21">
        <f t="shared" ca="1" si="41"/>
        <v>0.10839055729838637</v>
      </c>
    </row>
  </sheetData>
  <phoneticPr fontId="4" type="noConversion"/>
  <hyperlinks>
    <hyperlink ref="B1" r:id="rId1" xr:uid="{3F3E9679-3E58-4DE0-8072-BF6117D7A67E}"/>
  </hyperlinks>
  <pageMargins left="0.7" right="0.7" top="0.75" bottom="0.75" header="0.3" footer="0.3"/>
  <headerFooter>
    <oddFooter>&amp;C_x000D_&amp;1#&amp;"Calibri"&amp;10&amp;K000000 SLB-Private</oddFooter>
  </headerFooter>
  <drawing r:id="rId2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Heberth Taguado</dc:creator>
  <cp:lastModifiedBy>Heberth Taguado</cp:lastModifiedBy>
  <dcterms:created xsi:type="dcterms:W3CDTF">2024-07-02T18:21:52Z</dcterms:created>
  <dcterms:modified xsi:type="dcterms:W3CDTF">2024-10-02T12:42:30Z</dcterms:modified>
</cp:coreProperties>
</file>