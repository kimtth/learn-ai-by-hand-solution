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0" documentId="8_{000AD9C0-0445-4673-ADBD-2B1C2773CBC0}" xr6:coauthVersionLast="47" xr6:coauthVersionMax="47" xr10:uidLastSave="{00000000-0000-0000-0000-000000000000}"/>
  <bookViews>
    <workbookView xWindow="-120" yWindow="-120" windowWidth="20730" windowHeight="11310" xr2:uid="{F3333299-4847-4957-91CF-F13CE5C80F81}"/>
  </bookViews>
  <sheets>
    <sheet name="DF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4" i="1" l="1" a="1"/>
  <c r="T44" i="1" s="1"/>
  <c r="T40" i="1" a="1"/>
  <c r="T40" i="1" s="1"/>
  <c r="X32" i="1"/>
  <c r="X33" i="1"/>
  <c r="X34" i="1"/>
  <c r="X31" i="1"/>
  <c r="X23" i="1" a="1"/>
  <c r="X23" i="1" s="1"/>
  <c r="T32" i="1"/>
  <c r="U32" i="1"/>
  <c r="V32" i="1"/>
  <c r="T33" i="1"/>
  <c r="U33" i="1"/>
  <c r="V33" i="1"/>
  <c r="T34" i="1"/>
  <c r="U34" i="1"/>
  <c r="V34" i="1"/>
  <c r="U31" i="1"/>
  <c r="V31" i="1"/>
  <c r="T31" i="1"/>
  <c r="T23" i="1" a="1"/>
  <c r="T23" i="1" s="1"/>
  <c r="S10" i="1" a="1"/>
  <c r="S10" i="1" s="1"/>
  <c r="J40" i="1"/>
  <c r="K40" i="1" s="1"/>
  <c r="I40" i="1"/>
  <c r="H36" i="1"/>
  <c r="H25" i="1"/>
  <c r="I36" i="1"/>
  <c r="J36" i="1"/>
  <c r="K36" i="1"/>
  <c r="L36" i="1"/>
  <c r="L37" i="1" s="1"/>
  <c r="L38" i="1" s="1"/>
  <c r="M36" i="1"/>
  <c r="N36" i="1"/>
  <c r="O36" i="1"/>
  <c r="P36" i="1"/>
  <c r="Q36" i="1"/>
  <c r="J37" i="1"/>
  <c r="J38" i="1" s="1"/>
  <c r="K37" i="1"/>
  <c r="K38" i="1" s="1"/>
  <c r="K25" i="1" s="1"/>
  <c r="M37" i="1"/>
  <c r="M38" i="1" s="1"/>
  <c r="N37" i="1"/>
  <c r="N38" i="1" s="1"/>
  <c r="H37" i="1"/>
  <c r="H38" i="1" s="1"/>
  <c r="G42" i="1"/>
  <c r="J41" i="1"/>
  <c r="J42" i="1" s="1"/>
  <c r="J26" i="1" s="1"/>
  <c r="I41" i="1"/>
  <c r="I42" i="1" s="1"/>
  <c r="I26" i="1" s="1"/>
  <c r="G41" i="1"/>
  <c r="H41" i="1"/>
  <c r="H42" i="1" s="1"/>
  <c r="H26" i="1" s="1"/>
  <c r="P37" i="1"/>
  <c r="P38" i="1" s="1"/>
  <c r="P25" i="1" s="1"/>
  <c r="I24" i="1"/>
  <c r="J24" i="1"/>
  <c r="K24" i="1"/>
  <c r="L24" i="1"/>
  <c r="M24" i="1"/>
  <c r="N24" i="1"/>
  <c r="O24" i="1"/>
  <c r="P24" i="1"/>
  <c r="Q24" i="1"/>
  <c r="Q37" i="1"/>
  <c r="Q38" i="1" s="1"/>
  <c r="Q25" i="1" s="1"/>
  <c r="O37" i="1"/>
  <c r="O38" i="1" s="1"/>
  <c r="I37" i="1"/>
  <c r="I38" i="1" s="1"/>
  <c r="I25" i="1" s="1"/>
  <c r="G37" i="1"/>
  <c r="G38" i="1" s="1"/>
  <c r="H24" i="1"/>
  <c r="M30" i="1"/>
  <c r="M23" i="1" s="1"/>
  <c r="G30" i="1"/>
  <c r="H29" i="1"/>
  <c r="H30" i="1" s="1"/>
  <c r="H23" i="1" s="1"/>
  <c r="I29" i="1"/>
  <c r="I30" i="1" s="1"/>
  <c r="I23" i="1" s="1"/>
  <c r="J29" i="1"/>
  <c r="J30" i="1" s="1"/>
  <c r="J23" i="1" s="1"/>
  <c r="K29" i="1"/>
  <c r="K30" i="1" s="1"/>
  <c r="K23" i="1" s="1"/>
  <c r="L29" i="1"/>
  <c r="L30" i="1" s="1"/>
  <c r="L23" i="1" s="1"/>
  <c r="M29" i="1"/>
  <c r="N29" i="1"/>
  <c r="N30" i="1" s="1"/>
  <c r="N23" i="1" s="1"/>
  <c r="O29" i="1"/>
  <c r="O30" i="1" s="1"/>
  <c r="O23" i="1" s="1"/>
  <c r="P29" i="1"/>
  <c r="P30" i="1" s="1"/>
  <c r="P23" i="1" s="1"/>
  <c r="Q29" i="1"/>
  <c r="Q30" i="1" s="1"/>
  <c r="Q23" i="1" s="1"/>
  <c r="G29" i="1"/>
  <c r="K41" i="1" l="1"/>
  <c r="K42" i="1" s="1"/>
  <c r="K26" i="1" s="1"/>
  <c r="L40" i="1"/>
  <c r="L25" i="1"/>
  <c r="M25" i="1"/>
  <c r="N25" i="1"/>
  <c r="J25" i="1"/>
  <c r="O25" i="1"/>
  <c r="L41" i="1" l="1"/>
  <c r="L42" i="1" s="1"/>
  <c r="L26" i="1" s="1"/>
  <c r="M40" i="1"/>
  <c r="N40" i="1" l="1"/>
  <c r="M41" i="1"/>
  <c r="M42" i="1" s="1"/>
  <c r="M26" i="1" s="1"/>
  <c r="N41" i="1" l="1"/>
  <c r="N42" i="1" s="1"/>
  <c r="N26" i="1" s="1"/>
  <c r="O40" i="1"/>
  <c r="O41" i="1" l="1"/>
  <c r="O42" i="1" s="1"/>
  <c r="O26" i="1" s="1"/>
  <c r="P40" i="1"/>
  <c r="P41" i="1" l="1"/>
  <c r="P42" i="1" s="1"/>
  <c r="P26" i="1" s="1"/>
  <c r="Q40" i="1"/>
  <c r="Q41" i="1" s="1"/>
  <c r="Q42" i="1" s="1"/>
  <c r="Q26" i="1" s="1"/>
  <c r="H17" i="1" s="1" a="1"/>
  <c r="H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<sst xmlns="http://schemas.openxmlformats.org/spreadsheetml/2006/main" count="70" uniqueCount="44">
  <si>
    <t>Discrete Fourier Transform (DFT) is no doubt the most important method. But the math involved is extremely complex, literally, involving a summation over a complex number term e^(-iwt).</t>
  </si>
  <si>
    <t>A = cos(w) + 2cos(2w)</t>
  </si>
  <si>
    <t>B = cos(w) + cos(3w) + cos(4w)</t>
  </si>
  <si>
    <t xml:space="preserve">C = -cos(2w) + cos(3w) </t>
  </si>
  <si>
    <t>x=?</t>
  </si>
  <si>
    <t>Each signal is a weighed sum of four cosine waves at frequencies 1w, 2w, 3w, and 4w</t>
  </si>
  <si>
    <t>X is sampled at 10 time points 1t, 2t, …, 10t:</t>
  </si>
  <si>
    <t>X is also a weighted sum of the same four cosine waves, but we don’t already know their weights. We will apply DFT to discover them</t>
  </si>
  <si>
    <t>Frequency matrix</t>
  </si>
  <si>
    <t>w</t>
  </si>
  <si>
    <t>2w</t>
  </si>
  <si>
    <t>3w</t>
  </si>
  <si>
    <t>4w</t>
  </si>
  <si>
    <t>A</t>
  </si>
  <si>
    <t>B</t>
  </si>
  <si>
    <t>C</t>
  </si>
  <si>
    <t>Time</t>
  </si>
  <si>
    <t>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</si>
  <si>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</si>
  <si>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</si>
  <si>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</si>
  <si>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</si>
  <si>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</si>
  <si>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</si>
  <si>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</si>
  <si>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</si>
  <si>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</si>
  <si>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cos(w)</t>
  </si>
  <si>
    <t>cos(2w)</t>
  </si>
  <si>
    <t>cos(3w)</t>
  </si>
  <si>
    <t>cos(4w)</t>
  </si>
  <si>
    <t>deg</t>
  </si>
  <si>
    <t>rad</t>
  </si>
  <si>
    <t>W</t>
  </si>
  <si>
    <t>Cosine matrix</t>
  </si>
  <si>
    <t>Inverse DFT FxW</t>
  </si>
  <si>
    <t>X</t>
  </si>
  <si>
    <t>Frequency</t>
  </si>
  <si>
    <t xml:space="preserve">intermediate version of the “recovered” frequency </t>
  </si>
  <si>
    <t>scale *2/n = 1/5</t>
  </si>
  <si>
    <t>Transpose</t>
  </si>
  <si>
    <t>Frequency, idem to original F</t>
  </si>
  <si>
    <t>Using the coefficients [0,0,3,2], we can write the equation of X as 3cos(3w) + 2cos(4w).</t>
  </si>
  <si>
    <t>Given: Signals A, B, and C in the frequency domain: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</si>
</sst>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0F1419"/>
      <name val="Segoe UI"/>
      <family val="2"/>
    </font>
    <font>
      <sz val="10"/>
      <color rgb="FF0F1419"/>
      <name val="Segoe UI"/>
      <family val="2"/>
    </font>
    <font>
      <sz val="8"/>
      <name val="Aptos Narrow"/>
      <family val="2"/>
      <scheme val="minor"/>
    </font>
    <font>
      <sz val="11"/>
      <color rgb="FF0F141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168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8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168" fontId="0" fillId="4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3" fillId="0" borderId="0" xfId="0" applyFont="1"/>
    <xf numFmtId="1" fontId="0" fillId="7" borderId="1" xfId="0" applyNumberFormat="1" applyFill="1" applyBorder="1" applyAlignment="1">
      <alignment horizontal="center"/>
    </xf>
    <xf numFmtId="168" fontId="0" fillId="7" borderId="1" xfId="0" applyNumberFormat="1" applyFill="1" applyBorder="1"/>
    <xf numFmtId="0" fontId="0" fillId="7" borderId="1" xfId="0" applyFill="1" applyBorder="1"/>
    <xf numFmtId="168" fontId="1" fillId="6" borderId="1" xfId="0" applyNumberFormat="1" applyFont="1" applyFill="1" applyBorder="1"/>
    <xf numFmtId="0" fontId="1" fillId="6" borderId="1" xfId="0" applyFont="1" applyFill="1" applyBorder="1"/>
    <xf numFmtId="168" fontId="0" fillId="8" borderId="1" xfId="0" applyNumberFormat="1" applyFill="1" applyBorder="1"/>
    <xf numFmtId="0" fontId="0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4</xdr:row>
      <xdr:rowOff>66675</xdr:rowOff>
    </xdr:to>
    <xdr:sp macro="" textlink="">
      <xdr:nvSpPr>
        <xdr:cNvPr id="1025" name="AutoShape 1" descr="🟧">
          <a:extLst>
            <a:ext uri="{FF2B5EF4-FFF2-40B4-BE49-F238E27FC236}">
              <a16:creationId xmlns:a16="http://schemas.microsoft.com/office/drawing/2014/main" id="{29FF75CB-CD7E-983F-1DF3-BDA108DB8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314325</xdr:colOff>
      <xdr:row>3</xdr:row>
      <xdr:rowOff>0</xdr:rowOff>
    </xdr:from>
    <xdr:to>
      <xdr:col>2</xdr:col>
      <xdr:colOff>266700</xdr:colOff>
      <xdr:row>4</xdr:row>
      <xdr:rowOff>66675</xdr:rowOff>
    </xdr:to>
    <xdr:sp macro="" textlink="">
      <xdr:nvSpPr>
        <xdr:cNvPr id="1026" name="AutoShape 2" descr="🟩">
          <a:extLst>
            <a:ext uri="{FF2B5EF4-FFF2-40B4-BE49-F238E27FC236}">
              <a16:creationId xmlns:a16="http://schemas.microsoft.com/office/drawing/2014/main" id="{03315616-1676-235F-860A-D199AB3BABDB}"/>
            </a:ext>
          </a:extLst>
        </xdr:cNvPr>
        <xdr:cNvSpPr>
          <a:spLocks noChangeAspect="1" noChangeArrowheads="1"/>
        </xdr:cNvSpPr>
      </xdr:nvSpPr>
      <xdr:spPr bwMode="auto">
        <a:xfrm>
          <a:off x="923925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0F02-26E5-4AED-B944-320C94528304}">
  <dimension ref="B2:AK46"/>
  <sheetViews>
    <sheetView tabSelected="1" topLeftCell="A30" workbookViewId="0">
      <selection activeCell="F46" sqref="F46"/>
    </sheetView>
  </sheetViews>
  <sheetFormatPr defaultRowHeight="15" x14ac:dyDescent="0.25"/>
  <cols>
    <col min="2" max="2" width="5.28515625" customWidth="1"/>
    <col min="3" max="6" width="4.5703125" customWidth="1"/>
    <col min="8" max="17" width="5.85546875" customWidth="1"/>
    <col min="18" max="18" width="4.42578125" customWidth="1"/>
    <col min="19" max="47" width="5.5703125" customWidth="1"/>
  </cols>
  <sheetData>
    <row r="2" spans="2:24" ht="18.75" x14ac:dyDescent="0.35">
      <c r="B2" s="1" t="s">
        <v>0</v>
      </c>
    </row>
    <row r="4" spans="2:24" ht="18.75" x14ac:dyDescent="0.35">
      <c r="B4" s="1" t="s">
        <v>43</v>
      </c>
    </row>
    <row r="6" spans="2:24" x14ac:dyDescent="0.25">
      <c r="C6" s="22" t="s">
        <v>1</v>
      </c>
      <c r="D6" s="22"/>
    </row>
    <row r="7" spans="2:24" x14ac:dyDescent="0.25">
      <c r="C7" s="22" t="s">
        <v>2</v>
      </c>
      <c r="D7" s="22"/>
    </row>
    <row r="8" spans="2:24" x14ac:dyDescent="0.25">
      <c r="C8" s="22" t="s">
        <v>3</v>
      </c>
      <c r="D8" s="22"/>
      <c r="T8" t="s">
        <v>16</v>
      </c>
    </row>
    <row r="9" spans="2:24" x14ac:dyDescent="0.25">
      <c r="C9" s="22" t="s">
        <v>4</v>
      </c>
      <c r="D9" s="22"/>
      <c r="T9" t="s">
        <v>13</v>
      </c>
      <c r="U9" t="s">
        <v>14</v>
      </c>
      <c r="V9" t="s">
        <v>15</v>
      </c>
      <c r="X9" t="s">
        <v>36</v>
      </c>
    </row>
    <row r="10" spans="2:24" x14ac:dyDescent="0.25">
      <c r="C10" s="22" t="s">
        <v>5</v>
      </c>
      <c r="D10" s="22"/>
      <c r="S10" t="str" cm="1">
        <f t="array" ref="S10:V19">TRANSPOSE(H16:Q19)</f>
        <v>t</v>
      </c>
      <c r="T10" s="21">
        <v>1.4270509831248424</v>
      </c>
      <c r="U10" s="21">
        <v>-0.30901699437494723</v>
      </c>
      <c r="V10" s="21">
        <v>-0.61803398874989479</v>
      </c>
      <c r="X10" s="19">
        <v>-2.5</v>
      </c>
    </row>
    <row r="11" spans="2:24" ht="16.5" x14ac:dyDescent="0.3">
      <c r="C11" s="23" t="s">
        <v>6</v>
      </c>
      <c r="D11" s="22"/>
      <c r="S11" t="str">
        <v>2t</v>
      </c>
      <c r="T11" s="21">
        <v>-1.3090169943749472</v>
      </c>
      <c r="U11" s="21">
        <v>-0.19098300562505288</v>
      </c>
      <c r="V11" s="21">
        <v>-2.2204460492503131E-16</v>
      </c>
      <c r="X11" s="20">
        <v>-1.8</v>
      </c>
    </row>
    <row r="12" spans="2:24" ht="16.5" x14ac:dyDescent="0.3">
      <c r="C12" s="23" t="s">
        <v>7</v>
      </c>
      <c r="D12" s="22"/>
      <c r="S12" t="str">
        <v>3t</v>
      </c>
      <c r="T12" s="21">
        <v>-1.9270509831248424</v>
      </c>
      <c r="U12" s="21">
        <v>0.80901699437494767</v>
      </c>
      <c r="V12" s="21">
        <v>1.6180339887498949</v>
      </c>
      <c r="X12" s="20">
        <v>3</v>
      </c>
    </row>
    <row r="13" spans="2:24" x14ac:dyDescent="0.25">
      <c r="S13" t="str">
        <v>4t</v>
      </c>
      <c r="T13" s="21">
        <v>-0.19098300562505288</v>
      </c>
      <c r="U13" s="21">
        <v>-1.3090169943749472</v>
      </c>
      <c r="V13" s="21">
        <v>4.9960036108132044E-16</v>
      </c>
      <c r="X13" s="20">
        <v>-0.7</v>
      </c>
    </row>
    <row r="14" spans="2:24" x14ac:dyDescent="0.25">
      <c r="S14" t="str">
        <v>5t</v>
      </c>
      <c r="T14" s="21">
        <v>1</v>
      </c>
      <c r="U14" s="21">
        <v>-1</v>
      </c>
      <c r="V14" s="21">
        <v>-2</v>
      </c>
      <c r="X14" s="20">
        <v>-1</v>
      </c>
    </row>
    <row r="15" spans="2:24" x14ac:dyDescent="0.25">
      <c r="C15" t="s">
        <v>8</v>
      </c>
      <c r="H15" t="s">
        <v>16</v>
      </c>
      <c r="S15" t="str">
        <v>6t</v>
      </c>
      <c r="T15" s="21">
        <v>-0.1909830056250521</v>
      </c>
      <c r="U15" s="21">
        <v>-1.3090169943749477</v>
      </c>
      <c r="V15" s="21">
        <v>-7.2164496600635175E-16</v>
      </c>
      <c r="X15" s="20">
        <v>-0.7</v>
      </c>
    </row>
    <row r="16" spans="2:24" x14ac:dyDescent="0.25">
      <c r="C16" t="s">
        <v>9</v>
      </c>
      <c r="D16" t="s">
        <v>10</v>
      </c>
      <c r="E16" t="s">
        <v>11</v>
      </c>
      <c r="F16" t="s">
        <v>12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  <c r="N16" t="s">
        <v>23</v>
      </c>
      <c r="O16" t="s">
        <v>24</v>
      </c>
      <c r="P16" t="s">
        <v>25</v>
      </c>
      <c r="Q16" t="s">
        <v>26</v>
      </c>
      <c r="S16" t="str">
        <v>7t</v>
      </c>
      <c r="T16" s="21">
        <v>-1.9270509831248419</v>
      </c>
      <c r="U16" s="21">
        <v>0.8090169943749469</v>
      </c>
      <c r="V16" s="21">
        <v>1.6180339887498949</v>
      </c>
      <c r="X16" s="20">
        <v>3</v>
      </c>
    </row>
    <row r="17" spans="2:37" x14ac:dyDescent="0.25">
      <c r="B17" t="s">
        <v>13</v>
      </c>
      <c r="C17" s="18">
        <v>1</v>
      </c>
      <c r="D17" s="18">
        <v>2</v>
      </c>
      <c r="E17" s="18">
        <v>0</v>
      </c>
      <c r="F17" s="18">
        <v>0</v>
      </c>
      <c r="H17" s="21" cm="1">
        <f t="array" ref="H17:Q19">MMULT(C17:F19,H23:Q26)</f>
        <v>1.4270509831248424</v>
      </c>
      <c r="I17" s="21">
        <v>-1.3090169943749472</v>
      </c>
      <c r="J17" s="21">
        <v>-1.9270509831248424</v>
      </c>
      <c r="K17" s="21">
        <v>-0.19098300562505288</v>
      </c>
      <c r="L17" s="21">
        <v>1</v>
      </c>
      <c r="M17" s="21">
        <v>-0.1909830056250521</v>
      </c>
      <c r="N17" s="21">
        <v>-1.9270509831248419</v>
      </c>
      <c r="O17" s="21">
        <v>-1.3090169943749481</v>
      </c>
      <c r="P17" s="21">
        <v>1.4270509831248415</v>
      </c>
      <c r="Q17" s="21">
        <v>3</v>
      </c>
      <c r="S17" t="str">
        <v>8t</v>
      </c>
      <c r="T17" s="21">
        <v>-1.3090169943749481</v>
      </c>
      <c r="U17" s="21">
        <v>-0.19098300562505172</v>
      </c>
      <c r="V17" s="21">
        <v>5.5511151231257827E-16</v>
      </c>
      <c r="X17" s="20">
        <v>-1.8</v>
      </c>
    </row>
    <row r="18" spans="2:37" x14ac:dyDescent="0.25">
      <c r="B18" t="s">
        <v>14</v>
      </c>
      <c r="C18" s="18">
        <v>1</v>
      </c>
      <c r="D18" s="18">
        <v>0</v>
      </c>
      <c r="E18" s="18">
        <v>1</v>
      </c>
      <c r="F18" s="18">
        <v>1</v>
      </c>
      <c r="H18" s="21">
        <v>-0.30901699437494723</v>
      </c>
      <c r="I18" s="21">
        <v>-0.19098300562505288</v>
      </c>
      <c r="J18" s="21">
        <v>0.80901699437494767</v>
      </c>
      <c r="K18" s="21">
        <v>-1.3090169943749472</v>
      </c>
      <c r="L18" s="21">
        <v>-1</v>
      </c>
      <c r="M18" s="21">
        <v>-1.3090169943749477</v>
      </c>
      <c r="N18" s="21">
        <v>0.8090169943749469</v>
      </c>
      <c r="O18" s="21">
        <v>-0.19098300562505172</v>
      </c>
      <c r="P18" s="21">
        <v>-0.30901699437494862</v>
      </c>
      <c r="Q18" s="21">
        <v>3</v>
      </c>
      <c r="S18" t="str">
        <v>9t</v>
      </c>
      <c r="T18" s="21">
        <v>1.4270509831248415</v>
      </c>
      <c r="U18" s="21">
        <v>-0.30901699437494862</v>
      </c>
      <c r="V18" s="21">
        <v>-0.61803398874989512</v>
      </c>
      <c r="X18" s="20">
        <v>-2.5</v>
      </c>
    </row>
    <row r="19" spans="2:37" x14ac:dyDescent="0.25">
      <c r="B19" t="s">
        <v>15</v>
      </c>
      <c r="C19" s="18">
        <v>0</v>
      </c>
      <c r="D19" s="18">
        <v>-1</v>
      </c>
      <c r="E19" s="18">
        <v>1</v>
      </c>
      <c r="F19" s="18">
        <v>0</v>
      </c>
      <c r="H19" s="21">
        <v>-0.61803398874989479</v>
      </c>
      <c r="I19" s="21">
        <v>-2.2204460492503131E-16</v>
      </c>
      <c r="J19" s="21">
        <v>1.6180339887498949</v>
      </c>
      <c r="K19" s="21">
        <v>4.9960036108132044E-16</v>
      </c>
      <c r="L19" s="21">
        <v>-2</v>
      </c>
      <c r="M19" s="21">
        <v>-7.2164496600635175E-16</v>
      </c>
      <c r="N19" s="21">
        <v>1.6180339887498949</v>
      </c>
      <c r="O19" s="21">
        <v>5.5511151231257827E-16</v>
      </c>
      <c r="P19" s="21">
        <v>-0.61803398874989512</v>
      </c>
      <c r="Q19" s="21">
        <v>0</v>
      </c>
      <c r="S19" t="str">
        <v>10t</v>
      </c>
      <c r="T19" s="21">
        <v>3</v>
      </c>
      <c r="U19" s="21">
        <v>3</v>
      </c>
      <c r="V19" s="21">
        <v>0</v>
      </c>
      <c r="X19" s="20">
        <v>5</v>
      </c>
    </row>
    <row r="20" spans="2:37" x14ac:dyDescent="0.25">
      <c r="H20" t="s">
        <v>35</v>
      </c>
    </row>
    <row r="21" spans="2:37" x14ac:dyDescent="0.25">
      <c r="T21" s="15" t="s">
        <v>38</v>
      </c>
    </row>
    <row r="22" spans="2:37" x14ac:dyDescent="0.25">
      <c r="E22" t="s">
        <v>34</v>
      </c>
      <c r="T22" t="s">
        <v>37</v>
      </c>
    </row>
    <row r="23" spans="2:37" x14ac:dyDescent="0.25">
      <c r="E23" t="s">
        <v>33</v>
      </c>
      <c r="G23" t="s">
        <v>27</v>
      </c>
      <c r="H23" s="4">
        <f>COS(H30)</f>
        <v>0.80901699437494745</v>
      </c>
      <c r="I23" s="4">
        <f t="shared" ref="I23:Q23" si="0">COS(I30)</f>
        <v>0.30901699437494745</v>
      </c>
      <c r="J23" s="4">
        <f t="shared" si="0"/>
        <v>-0.30901699437494734</v>
      </c>
      <c r="K23" s="4">
        <f t="shared" si="0"/>
        <v>-0.80901699437494734</v>
      </c>
      <c r="L23" s="4">
        <f t="shared" si="0"/>
        <v>-1</v>
      </c>
      <c r="M23" s="4">
        <f t="shared" si="0"/>
        <v>-0.80901699437494756</v>
      </c>
      <c r="N23" s="4">
        <f t="shared" si="0"/>
        <v>-0.30901699437494756</v>
      </c>
      <c r="O23" s="4">
        <f t="shared" si="0"/>
        <v>0.30901699437494723</v>
      </c>
      <c r="P23" s="4">
        <f t="shared" si="0"/>
        <v>0.80901699437494734</v>
      </c>
      <c r="Q23" s="4">
        <f t="shared" si="0"/>
        <v>1</v>
      </c>
      <c r="S23" t="s">
        <v>9</v>
      </c>
      <c r="T23" s="18" cm="1">
        <f t="array" ref="T23:V26">MMULT(H23:Q26,T10:V19)</f>
        <v>4.9999999999999991</v>
      </c>
      <c r="U23" s="18">
        <v>5</v>
      </c>
      <c r="V23" s="18">
        <v>2.2204460492503131E-16</v>
      </c>
      <c r="X23" s="17" cm="1">
        <f t="array" ref="X23:X26">MMULT(H23:Q26,X10:X19)</f>
        <v>0.120975674250694</v>
      </c>
    </row>
    <row r="24" spans="2:37" x14ac:dyDescent="0.25">
      <c r="G24" t="s">
        <v>28</v>
      </c>
      <c r="H24" s="7">
        <f>COS(H34)</f>
        <v>0.30901699437494745</v>
      </c>
      <c r="I24" s="7">
        <f t="shared" ref="I24:Q24" si="1">COS(I34)</f>
        <v>-0.80901699437494734</v>
      </c>
      <c r="J24" s="7">
        <f t="shared" si="1"/>
        <v>-0.80901699437494756</v>
      </c>
      <c r="K24" s="7">
        <f t="shared" si="1"/>
        <v>0.30901699437494723</v>
      </c>
      <c r="L24" s="7">
        <f t="shared" si="1"/>
        <v>1</v>
      </c>
      <c r="M24" s="7">
        <f t="shared" si="1"/>
        <v>0.30901699437494773</v>
      </c>
      <c r="N24" s="7">
        <f t="shared" si="1"/>
        <v>-0.80901699437494723</v>
      </c>
      <c r="O24" s="7">
        <f t="shared" si="1"/>
        <v>-0.80901699437494767</v>
      </c>
      <c r="P24" s="7">
        <f t="shared" si="1"/>
        <v>0.30901699437494701</v>
      </c>
      <c r="Q24" s="7">
        <f t="shared" si="1"/>
        <v>1</v>
      </c>
      <c r="S24" t="s">
        <v>10</v>
      </c>
      <c r="T24" s="18">
        <v>10</v>
      </c>
      <c r="U24" s="18">
        <v>-8.8817841970012523E-16</v>
      </c>
      <c r="V24" s="18">
        <v>-5.0000000000000009</v>
      </c>
      <c r="X24" s="17">
        <v>8.0650449500464738E-2</v>
      </c>
    </row>
    <row r="25" spans="2:37" x14ac:dyDescent="0.25">
      <c r="G25" t="s">
        <v>29</v>
      </c>
      <c r="H25" s="10">
        <f>COS(H38)</f>
        <v>-0.30901699437494734</v>
      </c>
      <c r="I25" s="10">
        <f t="shared" ref="I25:Q25" si="2">COS(I38)</f>
        <v>-0.80901699437494756</v>
      </c>
      <c r="J25" s="10">
        <f t="shared" si="2"/>
        <v>0.80901699437494734</v>
      </c>
      <c r="K25" s="10">
        <f t="shared" si="2"/>
        <v>0.30901699437494773</v>
      </c>
      <c r="L25" s="10">
        <f t="shared" si="2"/>
        <v>-1</v>
      </c>
      <c r="M25" s="10">
        <f t="shared" si="2"/>
        <v>0.30901699437494701</v>
      </c>
      <c r="N25" s="10">
        <f t="shared" si="2"/>
        <v>0.80901699437494767</v>
      </c>
      <c r="O25" s="10">
        <f t="shared" si="2"/>
        <v>-0.80901699437494712</v>
      </c>
      <c r="P25" s="10">
        <f t="shared" si="2"/>
        <v>-0.30901699437494806</v>
      </c>
      <c r="Q25" s="10">
        <f t="shared" si="2"/>
        <v>1</v>
      </c>
      <c r="S25" t="s">
        <v>11</v>
      </c>
      <c r="T25" s="18">
        <v>-8.8817841970012523E-16</v>
      </c>
      <c r="U25" s="18">
        <v>5</v>
      </c>
      <c r="V25" s="18">
        <v>5</v>
      </c>
      <c r="X25" s="17">
        <v>14.879024325749308</v>
      </c>
    </row>
    <row r="26" spans="2:37" x14ac:dyDescent="0.25">
      <c r="G26" t="s">
        <v>30</v>
      </c>
      <c r="H26" s="10">
        <f>COS(H42)</f>
        <v>-0.80901699437494734</v>
      </c>
      <c r="I26" s="10">
        <f t="shared" ref="I26:Q26" si="3">COS(I42)</f>
        <v>0.30901699437494723</v>
      </c>
      <c r="J26" s="10">
        <f t="shared" si="3"/>
        <v>0.30901699437494773</v>
      </c>
      <c r="K26" s="10">
        <f t="shared" si="3"/>
        <v>-0.80901699437494767</v>
      </c>
      <c r="L26" s="10">
        <f t="shared" si="3"/>
        <v>1</v>
      </c>
      <c r="M26" s="10">
        <f t="shared" si="3"/>
        <v>-0.80901699437494712</v>
      </c>
      <c r="N26" s="10">
        <f t="shared" si="3"/>
        <v>0.30901699437494679</v>
      </c>
      <c r="O26" s="10">
        <f t="shared" si="3"/>
        <v>0.30901699437494817</v>
      </c>
      <c r="P26" s="10">
        <f t="shared" si="3"/>
        <v>-0.8090169943749479</v>
      </c>
      <c r="Q26" s="10">
        <f t="shared" si="3"/>
        <v>1</v>
      </c>
      <c r="S26" t="s">
        <v>12</v>
      </c>
      <c r="T26" s="18">
        <v>0</v>
      </c>
      <c r="U26" s="18">
        <v>5.0000000000000009</v>
      </c>
      <c r="V26" s="18">
        <v>3.3306690738754696E-16</v>
      </c>
      <c r="X26" s="17">
        <v>9.9193495504995362</v>
      </c>
    </row>
    <row r="27" spans="2:37" x14ac:dyDescent="0.25"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2:37" x14ac:dyDescent="0.25">
      <c r="E28" t="s">
        <v>9</v>
      </c>
      <c r="F28" s="5"/>
      <c r="G28" s="6">
        <v>0</v>
      </c>
      <c r="H28" s="6">
        <v>1</v>
      </c>
      <c r="I28" s="6">
        <v>2</v>
      </c>
      <c r="J28" s="6">
        <v>3</v>
      </c>
      <c r="K28" s="6">
        <v>4</v>
      </c>
      <c r="L28" s="6">
        <v>5</v>
      </c>
      <c r="M28" s="6">
        <v>6</v>
      </c>
      <c r="N28" s="6">
        <v>7</v>
      </c>
      <c r="O28" s="6">
        <v>8</v>
      </c>
      <c r="P28" s="6">
        <v>9</v>
      </c>
      <c r="Q28" s="6">
        <v>10</v>
      </c>
      <c r="R28" s="3"/>
      <c r="S28" s="3"/>
      <c r="T28" s="3" t="s">
        <v>39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2:37" x14ac:dyDescent="0.25">
      <c r="F29" s="5" t="s">
        <v>31</v>
      </c>
      <c r="G29" s="5">
        <f>36*G28</f>
        <v>0</v>
      </c>
      <c r="H29" s="5">
        <f t="shared" ref="H29:Q29" si="4">36*H28</f>
        <v>36</v>
      </c>
      <c r="I29" s="5">
        <f t="shared" si="4"/>
        <v>72</v>
      </c>
      <c r="J29" s="5">
        <f t="shared" si="4"/>
        <v>108</v>
      </c>
      <c r="K29" s="5">
        <f t="shared" si="4"/>
        <v>144</v>
      </c>
      <c r="L29" s="5">
        <f t="shared" si="4"/>
        <v>180</v>
      </c>
      <c r="M29" s="5">
        <f t="shared" si="4"/>
        <v>216</v>
      </c>
      <c r="N29" s="5">
        <f t="shared" si="4"/>
        <v>252</v>
      </c>
      <c r="O29" s="5">
        <f t="shared" si="4"/>
        <v>288</v>
      </c>
      <c r="P29" s="5">
        <f t="shared" si="4"/>
        <v>324</v>
      </c>
      <c r="Q29" s="5">
        <f t="shared" si="4"/>
        <v>360</v>
      </c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2:37" x14ac:dyDescent="0.25">
      <c r="F30" s="5" t="s">
        <v>32</v>
      </c>
      <c r="G30" s="5">
        <f>(G29/180)*PI()</f>
        <v>0</v>
      </c>
      <c r="H30" s="5">
        <f t="shared" ref="H30:Q30" si="5">(H29/180)*PI()</f>
        <v>0.62831853071795862</v>
      </c>
      <c r="I30" s="5">
        <f t="shared" si="5"/>
        <v>1.2566370614359172</v>
      </c>
      <c r="J30" s="5">
        <f t="shared" si="5"/>
        <v>1.8849555921538759</v>
      </c>
      <c r="K30" s="5">
        <f t="shared" si="5"/>
        <v>2.5132741228718345</v>
      </c>
      <c r="L30" s="5">
        <f t="shared" si="5"/>
        <v>3.1415926535897931</v>
      </c>
      <c r="M30" s="5">
        <f t="shared" si="5"/>
        <v>3.7699111843077517</v>
      </c>
      <c r="N30" s="5">
        <f t="shared" si="5"/>
        <v>4.3982297150257104</v>
      </c>
      <c r="O30" s="5">
        <f t="shared" si="5"/>
        <v>5.026548245743669</v>
      </c>
      <c r="P30" s="5">
        <f t="shared" si="5"/>
        <v>5.6548667764616276</v>
      </c>
      <c r="Q30" s="5">
        <f t="shared" si="5"/>
        <v>6.2831853071795862</v>
      </c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2:37" x14ac:dyDescent="0.25">
      <c r="R31" s="3"/>
      <c r="S31" s="3"/>
      <c r="T31" s="18">
        <f>T23/5</f>
        <v>0.99999999999999978</v>
      </c>
      <c r="U31" s="18">
        <f t="shared" ref="U31:V31" si="6">U23/5</f>
        <v>1</v>
      </c>
      <c r="V31" s="18">
        <f t="shared" si="6"/>
        <v>4.4408920985006264E-17</v>
      </c>
      <c r="W31" s="3"/>
      <c r="X31" s="17">
        <f>X23/5</f>
        <v>2.41951348501388E-2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2:37" x14ac:dyDescent="0.25">
      <c r="E32" t="s">
        <v>10</v>
      </c>
      <c r="F32" s="8"/>
      <c r="G32" s="9">
        <v>0</v>
      </c>
      <c r="H32" s="9">
        <v>2</v>
      </c>
      <c r="I32" s="9">
        <v>4</v>
      </c>
      <c r="J32" s="9">
        <v>6</v>
      </c>
      <c r="K32" s="9">
        <v>8</v>
      </c>
      <c r="L32" s="9">
        <v>10</v>
      </c>
      <c r="M32" s="9">
        <v>12</v>
      </c>
      <c r="N32" s="9">
        <v>14</v>
      </c>
      <c r="O32" s="9">
        <v>16</v>
      </c>
      <c r="P32" s="9">
        <v>18</v>
      </c>
      <c r="Q32" s="9">
        <v>20</v>
      </c>
      <c r="T32" s="18">
        <f t="shared" ref="T32:V32" si="7">T24/5</f>
        <v>2</v>
      </c>
      <c r="U32" s="18">
        <f t="shared" si="7"/>
        <v>-1.7763568394002506E-16</v>
      </c>
      <c r="V32" s="18">
        <f t="shared" si="7"/>
        <v>-1.0000000000000002</v>
      </c>
      <c r="X32" s="17">
        <f t="shared" ref="X32:X34" si="8">X24/5</f>
        <v>1.6130089900092948E-2</v>
      </c>
    </row>
    <row r="33" spans="5:27" x14ac:dyDescent="0.25">
      <c r="F33" s="8" t="s">
        <v>31</v>
      </c>
      <c r="G33" s="8">
        <v>0</v>
      </c>
      <c r="H33" s="8">
        <v>72</v>
      </c>
      <c r="I33" s="8">
        <v>144</v>
      </c>
      <c r="J33" s="8">
        <v>216</v>
      </c>
      <c r="K33" s="8">
        <v>288</v>
      </c>
      <c r="L33" s="8">
        <v>360</v>
      </c>
      <c r="M33" s="8">
        <v>432</v>
      </c>
      <c r="N33" s="8">
        <v>504</v>
      </c>
      <c r="O33" s="8">
        <v>576</v>
      </c>
      <c r="P33" s="8">
        <v>648</v>
      </c>
      <c r="Q33" s="8">
        <v>720</v>
      </c>
      <c r="T33" s="18">
        <f t="shared" ref="T33:V33" si="9">T25/5</f>
        <v>-1.7763568394002506E-16</v>
      </c>
      <c r="U33" s="18">
        <f t="shared" si="9"/>
        <v>1</v>
      </c>
      <c r="V33" s="18">
        <f t="shared" si="9"/>
        <v>1</v>
      </c>
      <c r="X33" s="17">
        <f t="shared" si="8"/>
        <v>2.9758048651498616</v>
      </c>
    </row>
    <row r="34" spans="5:27" x14ac:dyDescent="0.25">
      <c r="F34" s="8" t="s">
        <v>32</v>
      </c>
      <c r="G34" s="8">
        <v>0</v>
      </c>
      <c r="H34" s="8">
        <v>1.2566370614359172</v>
      </c>
      <c r="I34" s="8">
        <v>2.5132741228718345</v>
      </c>
      <c r="J34" s="8">
        <v>3.7699111843077517</v>
      </c>
      <c r="K34" s="8">
        <v>5.026548245743669</v>
      </c>
      <c r="L34" s="8">
        <v>6.2831853071795862</v>
      </c>
      <c r="M34" s="8">
        <v>7.5398223686155035</v>
      </c>
      <c r="N34" s="8">
        <v>8.7964594300514207</v>
      </c>
      <c r="O34" s="8">
        <v>10.053096491487338</v>
      </c>
      <c r="P34" s="8">
        <v>11.309733552923255</v>
      </c>
      <c r="Q34" s="8">
        <v>12.566370614359172</v>
      </c>
      <c r="T34" s="18">
        <f t="shared" ref="T34:V34" si="10">T26/5</f>
        <v>0</v>
      </c>
      <c r="U34" s="18">
        <f t="shared" si="10"/>
        <v>1.0000000000000002</v>
      </c>
      <c r="V34" s="18">
        <f t="shared" si="10"/>
        <v>6.661338147750939E-17</v>
      </c>
      <c r="X34" s="17">
        <f t="shared" si="8"/>
        <v>1.9838699100999073</v>
      </c>
    </row>
    <row r="36" spans="5:27" x14ac:dyDescent="0.25">
      <c r="E36" t="s">
        <v>11</v>
      </c>
      <c r="F36" s="11"/>
      <c r="G36" s="12">
        <v>0</v>
      </c>
      <c r="H36" s="12">
        <f>H28*3</f>
        <v>3</v>
      </c>
      <c r="I36" s="12">
        <f t="shared" ref="I36:Q36" si="11">I28*3</f>
        <v>6</v>
      </c>
      <c r="J36" s="12">
        <f t="shared" si="11"/>
        <v>9</v>
      </c>
      <c r="K36" s="12">
        <f t="shared" si="11"/>
        <v>12</v>
      </c>
      <c r="L36" s="12">
        <f t="shared" si="11"/>
        <v>15</v>
      </c>
      <c r="M36" s="12">
        <f t="shared" si="11"/>
        <v>18</v>
      </c>
      <c r="N36" s="12">
        <f t="shared" si="11"/>
        <v>21</v>
      </c>
      <c r="O36" s="12">
        <f t="shared" si="11"/>
        <v>24</v>
      </c>
      <c r="P36" s="12">
        <f t="shared" si="11"/>
        <v>27</v>
      </c>
      <c r="Q36" s="12">
        <f t="shared" si="11"/>
        <v>30</v>
      </c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5:27" x14ac:dyDescent="0.25">
      <c r="F37" s="11" t="s">
        <v>31</v>
      </c>
      <c r="G37" s="11">
        <f>36*G36</f>
        <v>0</v>
      </c>
      <c r="H37" s="11">
        <f t="shared" ref="H37" si="12">36*H36</f>
        <v>108</v>
      </c>
      <c r="I37" s="11">
        <f t="shared" ref="I37" si="13">36*I36</f>
        <v>216</v>
      </c>
      <c r="J37" s="11">
        <f t="shared" ref="J37" si="14">36*J36</f>
        <v>324</v>
      </c>
      <c r="K37" s="11">
        <f t="shared" ref="K37" si="15">36*K36</f>
        <v>432</v>
      </c>
      <c r="L37" s="11">
        <f t="shared" ref="L37" si="16">36*L36</f>
        <v>540</v>
      </c>
      <c r="M37" s="11">
        <f t="shared" ref="M37" si="17">36*M36</f>
        <v>648</v>
      </c>
      <c r="N37" s="11">
        <f t="shared" ref="N37" si="18">36*N36</f>
        <v>756</v>
      </c>
      <c r="O37" s="11">
        <f t="shared" ref="O37" si="19">36*O36</f>
        <v>864</v>
      </c>
      <c r="P37" s="11">
        <f t="shared" ref="P37" si="20">36*P36</f>
        <v>972</v>
      </c>
      <c r="Q37" s="11">
        <f t="shared" ref="Q37" si="21">36*Q36</f>
        <v>1080</v>
      </c>
      <c r="S37" s="2"/>
      <c r="T37" s="2" t="s">
        <v>40</v>
      </c>
      <c r="U37" s="2"/>
      <c r="V37" s="2"/>
      <c r="W37" s="2"/>
      <c r="X37" s="2"/>
      <c r="Y37" s="2"/>
      <c r="Z37" s="2"/>
      <c r="AA37" s="2"/>
    </row>
    <row r="38" spans="5:27" x14ac:dyDescent="0.25">
      <c r="F38" s="11" t="s">
        <v>32</v>
      </c>
      <c r="G38" s="11">
        <f>(G37/180)*PI()</f>
        <v>0</v>
      </c>
      <c r="H38" s="11">
        <f t="shared" ref="H38" si="22">(H37/180)*PI()</f>
        <v>1.8849555921538759</v>
      </c>
      <c r="I38" s="11">
        <f t="shared" ref="I38" si="23">(I37/180)*PI()</f>
        <v>3.7699111843077517</v>
      </c>
      <c r="J38" s="11">
        <f t="shared" ref="J38" si="24">(J37/180)*PI()</f>
        <v>5.6548667764616276</v>
      </c>
      <c r="K38" s="11">
        <f t="shared" ref="K38" si="25">(K37/180)*PI()</f>
        <v>7.5398223686155035</v>
      </c>
      <c r="L38" s="11">
        <f t="shared" ref="L38" si="26">(L37/180)*PI()</f>
        <v>9.4247779607693793</v>
      </c>
      <c r="M38" s="11">
        <f t="shared" ref="M38" si="27">(M37/180)*PI()</f>
        <v>11.309733552923255</v>
      </c>
      <c r="N38" s="11">
        <f t="shared" ref="N38" si="28">(N37/180)*PI()</f>
        <v>13.194689145077131</v>
      </c>
      <c r="O38" s="11">
        <f t="shared" ref="O38" si="29">(O37/180)*PI()</f>
        <v>15.079644737231007</v>
      </c>
      <c r="P38" s="11">
        <f t="shared" ref="P38" si="30">(P37/180)*PI()</f>
        <v>16.964600329384883</v>
      </c>
      <c r="Q38" s="11">
        <f t="shared" ref="Q38" si="31">(Q37/180)*PI()</f>
        <v>18.849555921538759</v>
      </c>
      <c r="S38" s="2"/>
      <c r="T38" s="2" t="s">
        <v>41</v>
      </c>
      <c r="U38" s="2"/>
      <c r="V38" s="2"/>
      <c r="W38" s="2"/>
      <c r="X38" s="2"/>
      <c r="Y38" s="2"/>
      <c r="Z38" s="2"/>
      <c r="AA38" s="2"/>
    </row>
    <row r="39" spans="5:27" x14ac:dyDescent="0.25">
      <c r="S39" s="2"/>
      <c r="T39" t="s">
        <v>9</v>
      </c>
      <c r="U39" t="s">
        <v>10</v>
      </c>
      <c r="V39" t="s">
        <v>11</v>
      </c>
      <c r="W39" t="s">
        <v>12</v>
      </c>
      <c r="X39" s="2"/>
      <c r="Y39" s="2"/>
      <c r="Z39" s="2"/>
      <c r="AA39" s="2"/>
    </row>
    <row r="40" spans="5:27" x14ac:dyDescent="0.25">
      <c r="E40" t="s">
        <v>12</v>
      </c>
      <c r="F40" s="13"/>
      <c r="G40" s="14">
        <v>0</v>
      </c>
      <c r="H40" s="14">
        <v>4</v>
      </c>
      <c r="I40" s="14">
        <f>H40+4</f>
        <v>8</v>
      </c>
      <c r="J40" s="14">
        <f t="shared" ref="J40:Q40" si="32">I40+4</f>
        <v>12</v>
      </c>
      <c r="K40" s="14">
        <f t="shared" si="32"/>
        <v>16</v>
      </c>
      <c r="L40" s="14">
        <f t="shared" si="32"/>
        <v>20</v>
      </c>
      <c r="M40" s="14">
        <f t="shared" si="32"/>
        <v>24</v>
      </c>
      <c r="N40" s="14">
        <f t="shared" si="32"/>
        <v>28</v>
      </c>
      <c r="O40" s="14">
        <f t="shared" si="32"/>
        <v>32</v>
      </c>
      <c r="P40" s="14">
        <f t="shared" si="32"/>
        <v>36</v>
      </c>
      <c r="Q40" s="14">
        <f t="shared" si="32"/>
        <v>40</v>
      </c>
      <c r="S40" s="2" t="s">
        <v>13</v>
      </c>
      <c r="T40" s="16" cm="1">
        <f t="array" ref="T40:W42">TRANSPOSE(T31:V34)</f>
        <v>0.99999999999999978</v>
      </c>
      <c r="U40" s="16">
        <v>2</v>
      </c>
      <c r="V40" s="16">
        <v>-1.7763568394002506E-16</v>
      </c>
      <c r="W40" s="16">
        <v>0</v>
      </c>
      <c r="X40" s="2"/>
      <c r="Y40" s="2"/>
      <c r="Z40" s="2"/>
      <c r="AA40" s="2"/>
    </row>
    <row r="41" spans="5:27" x14ac:dyDescent="0.25">
      <c r="F41" s="13" t="s">
        <v>31</v>
      </c>
      <c r="G41" s="13">
        <f>36*G40</f>
        <v>0</v>
      </c>
      <c r="H41" s="13">
        <f t="shared" ref="H41" si="33">36*H40</f>
        <v>144</v>
      </c>
      <c r="I41" s="13">
        <f t="shared" ref="I41" si="34">36*I40</f>
        <v>288</v>
      </c>
      <c r="J41" s="13">
        <f t="shared" ref="J41" si="35">36*J40</f>
        <v>432</v>
      </c>
      <c r="K41" s="13">
        <f t="shared" ref="K41" si="36">36*K40</f>
        <v>576</v>
      </c>
      <c r="L41" s="13">
        <f t="shared" ref="L41" si="37">36*L40</f>
        <v>720</v>
      </c>
      <c r="M41" s="13">
        <f t="shared" ref="M41" si="38">36*M40</f>
        <v>864</v>
      </c>
      <c r="N41" s="13">
        <f t="shared" ref="N41" si="39">36*N40</f>
        <v>1008</v>
      </c>
      <c r="O41" s="13">
        <f t="shared" ref="O41" si="40">36*O40</f>
        <v>1152</v>
      </c>
      <c r="P41" s="13">
        <f t="shared" ref="P41" si="41">36*P40</f>
        <v>1296</v>
      </c>
      <c r="Q41" s="13">
        <f t="shared" ref="Q41" si="42">36*Q40</f>
        <v>1440</v>
      </c>
      <c r="S41" t="s">
        <v>14</v>
      </c>
      <c r="T41" s="16">
        <v>1</v>
      </c>
      <c r="U41" s="16">
        <v>-1.7763568394002506E-16</v>
      </c>
      <c r="V41" s="16">
        <v>1</v>
      </c>
      <c r="W41" s="16">
        <v>1.0000000000000002</v>
      </c>
    </row>
    <row r="42" spans="5:27" x14ac:dyDescent="0.25">
      <c r="F42" s="13" t="s">
        <v>32</v>
      </c>
      <c r="G42" s="13">
        <f>(G41/180)*PI()</f>
        <v>0</v>
      </c>
      <c r="H42" s="13">
        <f t="shared" ref="H42" si="43">(H41/180)*PI()</f>
        <v>2.5132741228718345</v>
      </c>
      <c r="I42" s="13">
        <f t="shared" ref="I42" si="44">(I41/180)*PI()</f>
        <v>5.026548245743669</v>
      </c>
      <c r="J42" s="13">
        <f t="shared" ref="J42" si="45">(J41/180)*PI()</f>
        <v>7.5398223686155035</v>
      </c>
      <c r="K42" s="13">
        <f t="shared" ref="K42" si="46">(K41/180)*PI()</f>
        <v>10.053096491487338</v>
      </c>
      <c r="L42" s="13">
        <f t="shared" ref="L42" si="47">(L41/180)*PI()</f>
        <v>12.566370614359172</v>
      </c>
      <c r="M42" s="13">
        <f t="shared" ref="M42" si="48">(M41/180)*PI()</f>
        <v>15.079644737231007</v>
      </c>
      <c r="N42" s="13">
        <f t="shared" ref="N42" si="49">(N41/180)*PI()</f>
        <v>17.592918860102841</v>
      </c>
      <c r="O42" s="13">
        <f t="shared" ref="O42" si="50">(O41/180)*PI()</f>
        <v>20.106192982974676</v>
      </c>
      <c r="P42" s="13">
        <f t="shared" ref="P42" si="51">(P41/180)*PI()</f>
        <v>22.61946710584651</v>
      </c>
      <c r="Q42" s="13">
        <f t="shared" ref="Q42" si="52">(Q41/180)*PI()</f>
        <v>25.132741228718345</v>
      </c>
      <c r="S42" t="s">
        <v>15</v>
      </c>
      <c r="T42" s="16">
        <v>4.4408920985006264E-17</v>
      </c>
      <c r="U42" s="16">
        <v>-1.0000000000000002</v>
      </c>
      <c r="V42" s="16">
        <v>1</v>
      </c>
      <c r="W42" s="16">
        <v>6.661338147750939E-17</v>
      </c>
    </row>
    <row r="44" spans="5:27" x14ac:dyDescent="0.25">
      <c r="S44" t="s">
        <v>36</v>
      </c>
      <c r="T44" s="17" cm="1">
        <f t="array" ref="T44:W44">TRANSPOSE(X31:X34)</f>
        <v>2.41951348501388E-2</v>
      </c>
      <c r="U44" s="17">
        <v>1.6130089900092948E-2</v>
      </c>
      <c r="V44" s="17">
        <v>2.9758048651498616</v>
      </c>
      <c r="W44" s="17">
        <v>1.9838699100999073</v>
      </c>
    </row>
    <row r="46" spans="5:27" ht="18.75" x14ac:dyDescent="0.35">
      <c r="T46" s="1" t="s">
        <v>42</v>
      </c>
    </row>
  </sheetData>
  <phoneticPr fontId="4" type="noConversion"/>
  <pageMargins left="0.7" right="0.7" top="0.75" bottom="0.75" header="0.3" footer="0.3"/>
  <headerFooter>
    <oddFooter>&amp;C_x000D_&amp;1#&amp;"Calibri"&amp;10&amp;K000000 SLB-Private</oddFooter>
  </headerFooter>
  <drawing r:id="rId1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2024-06-28T20:37:59Z</dcterms:created>
  <dcterms:modified xsi:type="dcterms:W3CDTF">2024-06-28T21:56:45Z</dcterms:modified>
</cp:coreProperties>
</file>