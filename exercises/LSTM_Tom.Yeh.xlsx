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lb001-my.sharepoint.com/personal/htaguado_slb_com/Documents/Documents/Technical 2024/"/>
    </mc:Choice>
  </mc:AlternateContent>
  <xr:revisionPtr revIDLastSave="0" documentId="8_{C1363475-7C29-4030-8E0A-D9934562ADEF}" xr6:coauthVersionLast="47" xr6:coauthVersionMax="47" xr10:uidLastSave="{00000000-0000-0000-0000-000000000000}"/>
  <bookViews>
    <workbookView xWindow="-120" yWindow="-120" windowWidth="20730" windowHeight="11310" xr2:uid="{50A22447-42B0-4F0C-B807-A9C0AF0EFD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43" i="1" l="1"/>
  <c r="Z42" i="1"/>
  <c r="Z29" i="1"/>
  <c r="Z28" i="1"/>
  <c r="Z24" i="1"/>
  <c r="Z23" i="1"/>
  <c r="Z19" i="1"/>
  <c r="Z18" i="1"/>
  <c r="Z13" i="1"/>
  <c r="Z32" i="1" s="1"/>
  <c r="Z38" i="1" s="1"/>
  <c r="Z48" i="1" s="1"/>
  <c r="Z12" i="1"/>
  <c r="Z31" i="1" s="1"/>
  <c r="Z37" i="1" s="1"/>
  <c r="Z47" i="1" s="1"/>
  <c r="W42" i="1" a="1"/>
  <c r="W42" i="1" s="1"/>
  <c r="W28" i="1" a="1"/>
  <c r="W28" i="1" s="1"/>
  <c r="W23" i="1" a="1"/>
  <c r="W23" i="1" s="1"/>
  <c r="W18" i="1" a="1"/>
  <c r="W18" i="1" s="1"/>
  <c r="W11" i="1"/>
  <c r="W12" i="1"/>
  <c r="S47" i="1"/>
  <c r="P42" i="1" a="1"/>
  <c r="P42" i="1" s="1"/>
  <c r="S42" i="1" s="1"/>
  <c r="P28" i="1" a="1"/>
  <c r="P28" i="1" s="1"/>
  <c r="S28" i="1" s="1"/>
  <c r="S18" i="1"/>
  <c r="S13" i="1"/>
  <c r="S12" i="1"/>
  <c r="S29" i="1"/>
  <c r="S24" i="1"/>
  <c r="S23" i="1"/>
  <c r="S19" i="1"/>
  <c r="P23" i="1" a="1"/>
  <c r="P23" i="1" s="1"/>
  <c r="P18" i="1" a="1"/>
  <c r="P18" i="1" s="1"/>
  <c r="P12" i="1"/>
  <c r="P11" i="1"/>
  <c r="I42" i="1" a="1"/>
  <c r="I42" i="1" s="1"/>
  <c r="L42" i="1" s="1"/>
  <c r="I28" i="1" a="1"/>
  <c r="I28" i="1" s="1"/>
  <c r="L28" i="1" s="1"/>
  <c r="I23" i="1" a="1"/>
  <c r="I23" i="1" s="1"/>
  <c r="L23" i="1" s="1"/>
  <c r="I18" i="1" a="1"/>
  <c r="I18" i="1" s="1"/>
  <c r="L18" i="1" s="1"/>
  <c r="S43" i="1" l="1"/>
  <c r="S32" i="1"/>
  <c r="S38" i="1" s="1"/>
  <c r="S48" i="1" s="1"/>
  <c r="S31" i="1"/>
  <c r="S37" i="1" s="1"/>
  <c r="L31" i="1"/>
  <c r="L37" i="1" s="1"/>
  <c r="L47" i="1" s="1"/>
  <c r="L43" i="1"/>
  <c r="L19" i="1"/>
  <c r="L29" i="1"/>
  <c r="L24" i="1"/>
  <c r="L32" i="1" l="1"/>
  <c r="L38" i="1" s="1"/>
  <c r="L48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<sst xmlns="http://schemas.openxmlformats.org/spreadsheetml/2006/main" count="121" uniqueCount="68">
  <si>
    <t>LSTM</t>
  </si>
  <si>
    <t>subfamily of RNN, that process date sequentially in a recurrent manner</t>
  </si>
  <si>
    <t>reemplaced by Transformers</t>
  </si>
  <si>
    <t>Transformers used Self attetion to process data concurrently in parallel</t>
  </si>
  <si>
    <t>However,self attention doesn’t scale to extremely ling sequences (hundreds of thousands of tokens). Example : Mamba</t>
  </si>
  <si>
    <t>Weight matrices</t>
  </si>
  <si>
    <t>Wf</t>
  </si>
  <si>
    <t>Wc</t>
  </si>
  <si>
    <t>Wi</t>
  </si>
  <si>
    <t>Input sequences X1, X2, X3</t>
  </si>
  <si>
    <t>d=3</t>
  </si>
  <si>
    <t>Hidden state h (d=2)</t>
  </si>
  <si>
    <t>X1</t>
  </si>
  <si>
    <t>Memory C (d=2)</t>
  </si>
  <si>
    <t>Initialize</t>
  </si>
  <si>
    <t>Set memory celss C0 to [0.3, -0.5]</t>
  </si>
  <si>
    <t>Set hidden stage h0 to [1,2]</t>
  </si>
  <si>
    <t>Feature values</t>
  </si>
  <si>
    <t>Linear transform</t>
  </si>
  <si>
    <t>Multiply the 4 weight matrices with the concatenation of current input (X1) and previous hidden stage (h0)</t>
  </si>
  <si>
    <t>WfxX1</t>
  </si>
  <si>
    <t>Wx x X1</t>
  </si>
  <si>
    <t>Wi x X1</t>
  </si>
  <si>
    <t>Wo</t>
  </si>
  <si>
    <t>Wo x X1</t>
  </si>
  <si>
    <t>Non Linear transform</t>
  </si>
  <si>
    <t>Apply sigmoid to obtain gate values (between 0 and 1)</t>
  </si>
  <si>
    <t>Forget gate (f1): [-4, -6] to [0,0]</t>
  </si>
  <si>
    <t>Input gate (i1): [6,4] to [1,1]</t>
  </si>
  <si>
    <t>Output gate (o1): [4,-5] to [1,0]</t>
  </si>
  <si>
    <t>sigmoid</t>
  </si>
  <si>
    <t>Sigmoid</t>
  </si>
  <si>
    <t>Output gate</t>
  </si>
  <si>
    <t>Apply tang to obtain candidate memory values (between -1 and 1)</t>
  </si>
  <si>
    <t>Candidate memory C'1 : [1,-6] to [0.8, -1]</t>
  </si>
  <si>
    <t>tanh</t>
  </si>
  <si>
    <t>Updated memory</t>
  </si>
  <si>
    <t>Forget (C0*f1) multiply current memory with forget gate value</t>
  </si>
  <si>
    <t>Input (c'1*o1) multiply "candidate" memory with input gate values</t>
  </si>
  <si>
    <t>Update the memory to C1 by adding the two terms above : C0. *f1 + C'1.*o1 = C1</t>
  </si>
  <si>
    <t>Forget gate</t>
  </si>
  <si>
    <t>Candidate memory</t>
  </si>
  <si>
    <t>*</t>
  </si>
  <si>
    <t>+</t>
  </si>
  <si>
    <t>=</t>
  </si>
  <si>
    <t>Input gate</t>
  </si>
  <si>
    <t>Candidate output</t>
  </si>
  <si>
    <t>Apply tanh to the updated memory C1 to obtain candidate outputo'1</t>
  </si>
  <si>
    <t>[0.8, -1] to [0.7, -0.8]</t>
  </si>
  <si>
    <t>Apply tanh</t>
  </si>
  <si>
    <t>0'1</t>
  </si>
  <si>
    <t>o1</t>
  </si>
  <si>
    <t>Update hidden state</t>
  </si>
  <si>
    <t>Output (o'1 *o1 to h1) multiply candidate output with output gate</t>
  </si>
  <si>
    <t>Result is updated hidden state h1</t>
  </si>
  <si>
    <t>Also the first output</t>
  </si>
  <si>
    <t>Output=</t>
  </si>
  <si>
    <t>updated hidden state ht</t>
  </si>
  <si>
    <t>X2</t>
  </si>
  <si>
    <t>Memory C updated</t>
  </si>
  <si>
    <t>X3</t>
  </si>
  <si>
    <t xml:space="preserve">Repeat </t>
  </si>
  <si>
    <t>Update memory</t>
  </si>
  <si>
    <t>Nonlinerar transform</t>
  </si>
  <si>
    <t>repeat</t>
  </si>
  <si>
    <t>Repeat</t>
  </si>
  <si>
    <t>Copy previous hidden state h2 and memory C2</t>
  </si>
  <si>
    <t xml:space="preserve">Copy previous hidden state h1 and memory C1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</si>
</sst>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"/>
  </numFmts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49998474074526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0" borderId="0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3" xfId="0" applyBorder="1" applyAlignment="1">
      <alignment horizontal="center"/>
    </xf>
    <xf numFmtId="166" fontId="0" fillId="3" borderId="1" xfId="0" applyNumberFormat="1" applyFill="1" applyBorder="1"/>
    <xf numFmtId="166" fontId="0" fillId="0" borderId="1" xfId="0" applyNumberFormat="1" applyBorder="1"/>
    <xf numFmtId="166" fontId="0" fillId="4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79</xdr:row>
      <xdr:rowOff>0</xdr:rowOff>
    </xdr:from>
    <xdr:to>
      <xdr:col>14</xdr:col>
      <xdr:colOff>304800</xdr:colOff>
      <xdr:row>87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89DBAE-4399-4B23-EBE8-7AA21310D3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5087600"/>
          <a:ext cx="45148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9525</xdr:colOff>
      <xdr:row>78</xdr:row>
      <xdr:rowOff>9525</xdr:rowOff>
    </xdr:from>
    <xdr:to>
      <xdr:col>23</xdr:col>
      <xdr:colOff>542925</xdr:colOff>
      <xdr:row>89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C100DC8-54CA-A2FC-7F56-824E189102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0325" y="14906625"/>
          <a:ext cx="3457575" cy="2095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E2D89-EC54-4161-8283-3627AF57A67A}">
  <dimension ref="B2:AA78"/>
  <sheetViews>
    <sheetView tabSelected="1" workbookViewId="0">
      <selection activeCell="U92" sqref="U92"/>
    </sheetView>
  </sheetViews>
  <sheetFormatPr defaultRowHeight="15" x14ac:dyDescent="0.25"/>
  <cols>
    <col min="3" max="7" width="3.85546875" customWidth="1"/>
    <col min="9" max="9" width="5.5703125" customWidth="1"/>
    <col min="11" max="11" width="3" customWidth="1"/>
    <col min="12" max="12" width="5" customWidth="1"/>
    <col min="13" max="13" width="2.85546875" customWidth="1"/>
    <col min="16" max="16" width="5.42578125" customWidth="1"/>
    <col min="18" max="18" width="3.85546875" customWidth="1"/>
    <col min="19" max="19" width="4.5703125" customWidth="1"/>
    <col min="20" max="20" width="2.85546875" customWidth="1"/>
    <col min="23" max="23" width="5.140625" customWidth="1"/>
    <col min="25" max="25" width="2.7109375" customWidth="1"/>
    <col min="26" max="26" width="4.5703125" customWidth="1"/>
    <col min="27" max="27" width="2.7109375" customWidth="1"/>
  </cols>
  <sheetData>
    <row r="2" spans="2:27" x14ac:dyDescent="0.25">
      <c r="B2" t="s">
        <v>0</v>
      </c>
      <c r="C2" t="s">
        <v>1</v>
      </c>
    </row>
    <row r="3" spans="2:27" x14ac:dyDescent="0.25">
      <c r="C3" t="s">
        <v>2</v>
      </c>
    </row>
    <row r="4" spans="2:27" x14ac:dyDescent="0.25">
      <c r="C4" t="s">
        <v>3</v>
      </c>
    </row>
    <row r="5" spans="2:27" x14ac:dyDescent="0.25">
      <c r="C5" t="s">
        <v>4</v>
      </c>
    </row>
    <row r="7" spans="2:27" x14ac:dyDescent="0.25">
      <c r="I7" t="s">
        <v>12</v>
      </c>
      <c r="P7" t="s">
        <v>58</v>
      </c>
      <c r="W7" t="s">
        <v>60</v>
      </c>
    </row>
    <row r="8" spans="2:27" x14ac:dyDescent="0.25">
      <c r="C8" t="s">
        <v>9</v>
      </c>
      <c r="I8" s="3">
        <v>1</v>
      </c>
      <c r="P8" s="3">
        <v>2</v>
      </c>
      <c r="W8" s="3">
        <v>0</v>
      </c>
    </row>
    <row r="9" spans="2:27" x14ac:dyDescent="0.25">
      <c r="C9" t="s">
        <v>10</v>
      </c>
      <c r="I9" s="3">
        <v>2</v>
      </c>
      <c r="P9" s="3">
        <v>1</v>
      </c>
      <c r="W9" s="3">
        <v>-1</v>
      </c>
    </row>
    <row r="10" spans="2:27" ht="15.75" thickBot="1" x14ac:dyDescent="0.3">
      <c r="I10" s="3">
        <v>1</v>
      </c>
      <c r="P10" s="3">
        <v>0</v>
      </c>
      <c r="W10" s="3">
        <v>3</v>
      </c>
    </row>
    <row r="11" spans="2:27" x14ac:dyDescent="0.25">
      <c r="I11" s="4">
        <v>1</v>
      </c>
      <c r="K11" s="6"/>
      <c r="L11" s="7" t="s">
        <v>13</v>
      </c>
      <c r="M11" s="8"/>
      <c r="P11" s="16">
        <f>L47</f>
        <v>0.65952993506598967</v>
      </c>
      <c r="R11" s="6"/>
      <c r="S11" s="7" t="s">
        <v>59</v>
      </c>
      <c r="T11" s="8"/>
      <c r="W11" s="16">
        <f>S47</f>
        <v>0.73289209345975037</v>
      </c>
      <c r="Y11" s="6"/>
      <c r="Z11" s="7" t="s">
        <v>59</v>
      </c>
      <c r="AA11" s="8"/>
    </row>
    <row r="12" spans="2:27" x14ac:dyDescent="0.25">
      <c r="C12" t="s">
        <v>11</v>
      </c>
      <c r="I12" s="4">
        <v>1</v>
      </c>
      <c r="K12" s="9"/>
      <c r="L12" s="5">
        <v>3</v>
      </c>
      <c r="M12" s="10"/>
      <c r="P12" s="16">
        <f>L48</f>
        <v>-5.0495164758070669E-3</v>
      </c>
      <c r="R12" s="9"/>
      <c r="S12" s="18">
        <f>L31</f>
        <v>0.81366965049606532</v>
      </c>
      <c r="T12" s="10"/>
      <c r="W12" s="16">
        <f>S48</f>
        <v>-0.1329849046948004</v>
      </c>
      <c r="Y12" s="9"/>
      <c r="Z12" s="18">
        <f>S31</f>
        <v>0.97699039388453002</v>
      </c>
      <c r="AA12" s="10"/>
    </row>
    <row r="13" spans="2:27" x14ac:dyDescent="0.25">
      <c r="K13" s="9"/>
      <c r="L13" s="5">
        <v>-0.5</v>
      </c>
      <c r="M13" s="10"/>
      <c r="R13" s="9"/>
      <c r="S13" s="18">
        <f>L32</f>
        <v>-0.98323803428785028</v>
      </c>
      <c r="T13" s="10"/>
      <c r="Y13" s="9"/>
      <c r="Z13" s="18">
        <f>S32</f>
        <v>-0.73372365862955979</v>
      </c>
      <c r="AA13" s="10"/>
    </row>
    <row r="14" spans="2:27" x14ac:dyDescent="0.25">
      <c r="K14" s="9"/>
      <c r="L14" s="2"/>
      <c r="M14" s="10"/>
      <c r="R14" s="9"/>
      <c r="S14" s="2"/>
      <c r="T14" s="10"/>
      <c r="Y14" s="9"/>
      <c r="Z14" s="2"/>
      <c r="AA14" s="10"/>
    </row>
    <row r="15" spans="2:27" x14ac:dyDescent="0.25">
      <c r="C15" t="s">
        <v>5</v>
      </c>
      <c r="K15" s="9"/>
      <c r="L15" s="11" t="s">
        <v>42</v>
      </c>
      <c r="M15" s="10"/>
      <c r="R15" s="9"/>
      <c r="S15" s="11" t="s">
        <v>42</v>
      </c>
      <c r="T15" s="10"/>
      <c r="Y15" s="9"/>
      <c r="Z15" s="11" t="s">
        <v>42</v>
      </c>
      <c r="AA15" s="10"/>
    </row>
    <row r="16" spans="2:27" x14ac:dyDescent="0.25">
      <c r="C16" t="s">
        <v>40</v>
      </c>
      <c r="I16" t="s">
        <v>17</v>
      </c>
      <c r="K16" s="9"/>
      <c r="L16" s="2"/>
      <c r="M16" s="10"/>
      <c r="R16" s="9"/>
      <c r="S16" s="2"/>
      <c r="T16" s="10"/>
      <c r="Y16" s="9"/>
      <c r="Z16" s="2"/>
      <c r="AA16" s="10"/>
    </row>
    <row r="17" spans="3:27" x14ac:dyDescent="0.25">
      <c r="C17" t="s">
        <v>6</v>
      </c>
      <c r="I17" t="s">
        <v>20</v>
      </c>
      <c r="K17" s="9"/>
      <c r="L17" s="2"/>
      <c r="M17" s="10"/>
      <c r="R17" s="9"/>
      <c r="S17" s="2"/>
      <c r="T17" s="10"/>
      <c r="Y17" s="9"/>
      <c r="Z17" s="2"/>
      <c r="AA17" s="10"/>
    </row>
    <row r="18" spans="3:27" x14ac:dyDescent="0.25">
      <c r="C18" s="3">
        <v>0</v>
      </c>
      <c r="D18" s="3">
        <v>-1</v>
      </c>
      <c r="E18" s="3">
        <v>0</v>
      </c>
      <c r="F18" s="4">
        <v>0</v>
      </c>
      <c r="G18" s="4">
        <v>-2</v>
      </c>
      <c r="I18" s="1" cm="1">
        <f t="array" ref="I18:I19">MMULT(C18:G19,I8:I12)</f>
        <v>-4</v>
      </c>
      <c r="J18" t="s">
        <v>30</v>
      </c>
      <c r="K18" s="9"/>
      <c r="L18" s="1">
        <f>1/(1+IMEXP(-I18))</f>
        <v>1.7986209962091569E-2</v>
      </c>
      <c r="M18" s="10"/>
      <c r="N18" t="s">
        <v>40</v>
      </c>
      <c r="P18" s="17" cm="1">
        <f t="array" ref="P18:P19">MMULT(C18:G19,P8:P12)</f>
        <v>-0.98990096704838582</v>
      </c>
      <c r="Q18" t="s">
        <v>30</v>
      </c>
      <c r="R18" s="9"/>
      <c r="S18" s="17">
        <f>1/(1+IMEXP(-P18))</f>
        <v>0.27093163895669009</v>
      </c>
      <c r="T18" s="10"/>
      <c r="W18" s="17" cm="1">
        <f t="array" ref="W18:W19">MMULT(C18:G19,W8:W12)</f>
        <v>1.2659698093896008</v>
      </c>
      <c r="X18" t="s">
        <v>30</v>
      </c>
      <c r="Y18" s="9"/>
      <c r="Z18" s="17">
        <f>1/(1+IMEXP(-W18))</f>
        <v>0.78005206520364001</v>
      </c>
      <c r="AA18" s="10"/>
    </row>
    <row r="19" spans="3:27" x14ac:dyDescent="0.25">
      <c r="C19" s="3">
        <v>-2</v>
      </c>
      <c r="D19" s="3">
        <v>0</v>
      </c>
      <c r="E19" s="3">
        <v>-2</v>
      </c>
      <c r="F19" s="4">
        <v>-2</v>
      </c>
      <c r="G19" s="4">
        <v>0</v>
      </c>
      <c r="I19" s="1">
        <v>-6</v>
      </c>
      <c r="K19" s="9"/>
      <c r="L19" s="1">
        <f>1/(1+IMEXP(-I19))</f>
        <v>2.4726231566347752E-3</v>
      </c>
      <c r="M19" s="10"/>
      <c r="P19" s="17">
        <v>-5.3190598701319791</v>
      </c>
      <c r="R19" s="9"/>
      <c r="S19" s="17">
        <f>1/(1+IMEXP(-P19))</f>
        <v>4.8734885052782069E-3</v>
      </c>
      <c r="T19" s="10"/>
      <c r="W19" s="1">
        <v>-7.4657841869195005</v>
      </c>
      <c r="Y19" s="9"/>
      <c r="Z19" s="17">
        <f>1/(1+IMEXP(-W19))</f>
        <v>5.7200869864571283E-4</v>
      </c>
      <c r="AA19" s="10"/>
    </row>
    <row r="20" spans="3:27" x14ac:dyDescent="0.25">
      <c r="K20" s="9"/>
      <c r="L20" s="2"/>
      <c r="M20" s="10"/>
      <c r="R20" s="9"/>
      <c r="S20" s="2"/>
      <c r="T20" s="10"/>
      <c r="Y20" s="9"/>
      <c r="Z20" s="2"/>
      <c r="AA20" s="10"/>
    </row>
    <row r="21" spans="3:27" x14ac:dyDescent="0.25">
      <c r="C21" t="s">
        <v>41</v>
      </c>
      <c r="K21" s="9"/>
      <c r="L21" s="11" t="s">
        <v>43</v>
      </c>
      <c r="M21" s="10"/>
      <c r="R21" s="9"/>
      <c r="S21" s="11" t="s">
        <v>43</v>
      </c>
      <c r="T21" s="10"/>
      <c r="Y21" s="9"/>
      <c r="Z21" s="11" t="s">
        <v>43</v>
      </c>
      <c r="AA21" s="10"/>
    </row>
    <row r="22" spans="3:27" x14ac:dyDescent="0.25">
      <c r="C22" t="s">
        <v>7</v>
      </c>
      <c r="I22" t="s">
        <v>21</v>
      </c>
      <c r="K22" s="9"/>
      <c r="L22" s="2"/>
      <c r="M22" s="10"/>
      <c r="R22" s="9"/>
      <c r="S22" s="2"/>
      <c r="T22" s="10"/>
      <c r="Y22" s="9"/>
      <c r="Z22" s="2"/>
      <c r="AA22" s="10"/>
    </row>
    <row r="23" spans="3:27" x14ac:dyDescent="0.25">
      <c r="C23" s="3">
        <v>0</v>
      </c>
      <c r="D23" s="3">
        <v>1</v>
      </c>
      <c r="E23" s="3">
        <v>0</v>
      </c>
      <c r="F23" s="4">
        <v>0</v>
      </c>
      <c r="G23" s="4">
        <v>-1</v>
      </c>
      <c r="I23" s="1" cm="1">
        <f t="array" ref="I23:I24">MMULT(C23:G24,I8:I12)</f>
        <v>1</v>
      </c>
      <c r="J23" t="s">
        <v>35</v>
      </c>
      <c r="K23" s="9"/>
      <c r="L23" s="1">
        <f>(2/(1+IMEXP(-2*I23)))-1</f>
        <v>0.76159415595576441</v>
      </c>
      <c r="M23" s="10"/>
      <c r="N23" t="s">
        <v>41</v>
      </c>
      <c r="P23" s="17" cm="1">
        <f t="array" ref="P23:P24">MMULT(C23:G24,P8:P12)</f>
        <v>1.0050495164758071</v>
      </c>
      <c r="Q23" t="s">
        <v>35</v>
      </c>
      <c r="R23" s="9"/>
      <c r="S23" s="17">
        <f>(2/(1+IMEXP(-2*P23)))-1</f>
        <v>0.76370668125737384</v>
      </c>
      <c r="T23" s="10"/>
      <c r="W23" s="1" cm="1">
        <f t="array" ref="W23:W24">MMULT(C23:G24,W8:W12)</f>
        <v>-0.8670150953051996</v>
      </c>
      <c r="X23" t="s">
        <v>35</v>
      </c>
      <c r="Y23" s="9"/>
      <c r="Z23" s="17">
        <f>(2/(1+IMEXP(-2*W23)))-1</f>
        <v>-0.69985440039444835</v>
      </c>
      <c r="AA23" s="10"/>
    </row>
    <row r="24" spans="3:27" x14ac:dyDescent="0.25">
      <c r="C24" s="3">
        <v>-1</v>
      </c>
      <c r="D24" s="3">
        <v>0</v>
      </c>
      <c r="E24" s="3">
        <v>-1</v>
      </c>
      <c r="F24" s="4">
        <v>-4</v>
      </c>
      <c r="G24" s="4">
        <v>0</v>
      </c>
      <c r="I24" s="1">
        <v>-6</v>
      </c>
      <c r="K24" s="9"/>
      <c r="L24" s="1">
        <f>(2/(1+IMEXP(-2*I24)))-1</f>
        <v>-0.99998771165079559</v>
      </c>
      <c r="M24" s="10"/>
      <c r="P24" s="17">
        <v>-4.6381197402639582</v>
      </c>
      <c r="R24" s="9"/>
      <c r="S24" s="17">
        <f>(2/(1+IMEXP(-2*P24)))-1</f>
        <v>-0.9998127724653848</v>
      </c>
      <c r="T24" s="10"/>
      <c r="W24" s="1">
        <v>-5.931568373839001</v>
      </c>
      <c r="Y24" s="9"/>
      <c r="Z24" s="17">
        <f>(2/(1+IMEXP(-2*W24)))-1</f>
        <v>-0.99998590931493359</v>
      </c>
      <c r="AA24" s="10"/>
    </row>
    <row r="25" spans="3:27" x14ac:dyDescent="0.25">
      <c r="K25" s="9"/>
      <c r="L25" s="2"/>
      <c r="M25" s="10"/>
      <c r="R25" s="9"/>
      <c r="S25" s="2"/>
      <c r="T25" s="10"/>
      <c r="Y25" s="9"/>
      <c r="Z25" s="2"/>
      <c r="AA25" s="10"/>
    </row>
    <row r="26" spans="3:27" x14ac:dyDescent="0.25">
      <c r="C26" t="s">
        <v>45</v>
      </c>
      <c r="K26" s="9"/>
      <c r="L26" s="11" t="s">
        <v>42</v>
      </c>
      <c r="M26" s="10"/>
      <c r="R26" s="9"/>
      <c r="S26" s="11" t="s">
        <v>42</v>
      </c>
      <c r="T26" s="10"/>
      <c r="Y26" s="9"/>
      <c r="Z26" s="11" t="s">
        <v>42</v>
      </c>
      <c r="AA26" s="10"/>
    </row>
    <row r="27" spans="3:27" x14ac:dyDescent="0.25">
      <c r="C27" t="s">
        <v>8</v>
      </c>
      <c r="I27" t="s">
        <v>22</v>
      </c>
      <c r="K27" s="9"/>
      <c r="L27" s="2"/>
      <c r="M27" s="10"/>
      <c r="R27" s="9"/>
      <c r="S27" s="2"/>
      <c r="T27" s="10"/>
      <c r="Y27" s="9"/>
      <c r="Z27" s="2"/>
      <c r="AA27" s="10"/>
    </row>
    <row r="28" spans="3:27" x14ac:dyDescent="0.25">
      <c r="C28" s="3">
        <v>2</v>
      </c>
      <c r="D28" s="3">
        <v>0</v>
      </c>
      <c r="E28" s="3">
        <v>3</v>
      </c>
      <c r="F28" s="4">
        <v>1</v>
      </c>
      <c r="G28" s="4">
        <v>0</v>
      </c>
      <c r="I28" s="1" cm="1">
        <f t="array" ref="I28:I29">MMULT(C28:G29,I8:I12)</f>
        <v>6</v>
      </c>
      <c r="J28" t="s">
        <v>30</v>
      </c>
      <c r="K28" s="9"/>
      <c r="L28" s="1">
        <f>1/(1+IMEXP(-I28))</f>
        <v>0.99752737684336534</v>
      </c>
      <c r="M28" s="10"/>
      <c r="N28" t="s">
        <v>45</v>
      </c>
      <c r="P28" s="17" cm="1">
        <f t="array" ref="P28:P29">MMULT(C28:G29,P8:P12)</f>
        <v>4.65952993506599</v>
      </c>
      <c r="Q28" t="s">
        <v>30</v>
      </c>
      <c r="R28" s="9"/>
      <c r="S28" s="17">
        <f>1/(1+IMEXP(-P28))</f>
        <v>0.99061794334539111</v>
      </c>
      <c r="T28" s="10"/>
      <c r="W28" s="17" cm="1">
        <f t="array" ref="W28:W29">MMULT(C28:G29,W8:W12)</f>
        <v>9.7328920934597498</v>
      </c>
      <c r="X28" t="s">
        <v>30</v>
      </c>
      <c r="Y28" s="9"/>
      <c r="Z28" s="17">
        <f>1/(1+IMEXP(-W28))</f>
        <v>0.99994070297324433</v>
      </c>
      <c r="AA28" s="10"/>
    </row>
    <row r="29" spans="3:27" x14ac:dyDescent="0.25">
      <c r="C29" s="3">
        <v>0</v>
      </c>
      <c r="D29" s="3">
        <v>1</v>
      </c>
      <c r="E29" s="3">
        <v>0</v>
      </c>
      <c r="F29" s="4">
        <v>0</v>
      </c>
      <c r="G29" s="4">
        <v>2</v>
      </c>
      <c r="I29" s="1">
        <v>4</v>
      </c>
      <c r="K29" s="9"/>
      <c r="L29" s="1">
        <f>1/(1+IMEXP(-I29))</f>
        <v>0.98201379003790845</v>
      </c>
      <c r="M29" s="10"/>
      <c r="P29" s="17">
        <v>0.98990096704838582</v>
      </c>
      <c r="R29" s="9"/>
      <c r="S29" s="17">
        <f>1/(1+IMEXP(-P29))</f>
        <v>0.72906836104330974</v>
      </c>
      <c r="T29" s="10"/>
      <c r="W29" s="1">
        <v>-1.2659698093896008</v>
      </c>
      <c r="Y29" s="9"/>
      <c r="Z29" s="17">
        <f>1/(1+IMEXP(-W29))</f>
        <v>0.21994793479635977</v>
      </c>
      <c r="AA29" s="10"/>
    </row>
    <row r="30" spans="3:27" x14ac:dyDescent="0.25">
      <c r="K30" s="9"/>
      <c r="L30" s="11" t="s">
        <v>44</v>
      </c>
      <c r="M30" s="10"/>
      <c r="R30" s="9"/>
      <c r="S30" s="11" t="s">
        <v>44</v>
      </c>
      <c r="T30" s="10"/>
      <c r="Y30" s="9"/>
      <c r="Z30" s="11" t="s">
        <v>44</v>
      </c>
      <c r="AA30" s="10"/>
    </row>
    <row r="31" spans="3:27" x14ac:dyDescent="0.25">
      <c r="K31" s="9"/>
      <c r="L31" s="5">
        <f>(L12*L18)+(L23*L28)</f>
        <v>0.81366965049606532</v>
      </c>
      <c r="M31" s="10"/>
      <c r="N31" t="s">
        <v>36</v>
      </c>
      <c r="R31" s="9"/>
      <c r="S31" s="18">
        <f>(S12*S18)+(S23*S28)</f>
        <v>0.97699039388453002</v>
      </c>
      <c r="T31" s="10"/>
      <c r="Y31" s="9"/>
      <c r="Z31" s="18">
        <f>(Z12*Z18)+(Z23*Z28)</f>
        <v>6.2290473324402185E-2</v>
      </c>
      <c r="AA31" s="10"/>
    </row>
    <row r="32" spans="3:27" x14ac:dyDescent="0.25">
      <c r="K32" s="9"/>
      <c r="L32" s="5">
        <f>(L13*L19)+(L24*L29)</f>
        <v>-0.98323803428785028</v>
      </c>
      <c r="M32" s="10"/>
      <c r="R32" s="9"/>
      <c r="S32" s="18">
        <f>(S13*S19)+(S24*S29)</f>
        <v>-0.73372365862955979</v>
      </c>
      <c r="T32" s="10"/>
      <c r="Y32" s="9"/>
      <c r="Z32" s="18">
        <f>(Z13*Z19)+(Z24*Z29)</f>
        <v>-0.22036453189441782</v>
      </c>
      <c r="AA32" s="10"/>
    </row>
    <row r="33" spans="3:27" ht="15.75" thickBot="1" x14ac:dyDescent="0.3">
      <c r="K33" s="12"/>
      <c r="L33" s="13"/>
      <c r="M33" s="14"/>
      <c r="R33" s="12"/>
      <c r="S33" s="13"/>
      <c r="T33" s="14"/>
      <c r="Y33" s="12"/>
      <c r="Z33" s="13"/>
      <c r="AA33" s="14"/>
    </row>
    <row r="34" spans="3:27" x14ac:dyDescent="0.25">
      <c r="K34" s="2"/>
      <c r="L34" s="2"/>
      <c r="M34" s="2"/>
    </row>
    <row r="35" spans="3:27" ht="15.75" thickBot="1" x14ac:dyDescent="0.3">
      <c r="K35" t="s">
        <v>49</v>
      </c>
      <c r="R35" t="s">
        <v>49</v>
      </c>
      <c r="Y35" t="s">
        <v>49</v>
      </c>
    </row>
    <row r="36" spans="3:27" x14ac:dyDescent="0.25">
      <c r="K36" s="6"/>
      <c r="L36" s="15" t="s">
        <v>44</v>
      </c>
      <c r="M36" s="8"/>
      <c r="R36" s="6"/>
      <c r="S36" s="15" t="s">
        <v>44</v>
      </c>
      <c r="T36" s="8"/>
      <c r="Y36" s="6"/>
      <c r="Z36" s="15" t="s">
        <v>44</v>
      </c>
      <c r="AA36" s="8"/>
    </row>
    <row r="37" spans="3:27" x14ac:dyDescent="0.25">
      <c r="K37" s="9"/>
      <c r="L37" s="1">
        <f>(2/(1+IMEXP(-2*L31)))-1</f>
        <v>0.67160964719296867</v>
      </c>
      <c r="M37" s="10"/>
      <c r="N37" t="s">
        <v>46</v>
      </c>
      <c r="R37" s="9"/>
      <c r="S37" s="17">
        <f>(2/(1+IMEXP(-2*S31)))-1</f>
        <v>0.75176011569315571</v>
      </c>
      <c r="T37" s="10"/>
      <c r="Y37" s="9"/>
      <c r="Z37" s="17">
        <f>(2/(1+IMEXP(-2*Z31)))-1</f>
        <v>6.22100336822069E-2</v>
      </c>
      <c r="AA37" s="10"/>
    </row>
    <row r="38" spans="3:27" x14ac:dyDescent="0.25">
      <c r="K38" s="9"/>
      <c r="L38" s="1">
        <f>(2/(1+IMEXP(-2*L32)))-1</f>
        <v>-0.75446420859084518</v>
      </c>
      <c r="M38" s="10"/>
      <c r="N38" t="s">
        <v>50</v>
      </c>
      <c r="R38" s="9"/>
      <c r="S38" s="17">
        <f>(2/(1+IMEXP(-2*S32)))-1</f>
        <v>-0.62533816146863852</v>
      </c>
      <c r="T38" s="10"/>
      <c r="Y38" s="9"/>
      <c r="Z38" s="17">
        <f>(2/(1+IMEXP(-2*Z32)))-1</f>
        <v>-0.21686547667029032</v>
      </c>
      <c r="AA38" s="10"/>
    </row>
    <row r="39" spans="3:27" x14ac:dyDescent="0.25">
      <c r="K39" s="9"/>
      <c r="L39" s="2"/>
      <c r="M39" s="10"/>
      <c r="R39" s="9"/>
      <c r="S39" s="2"/>
      <c r="T39" s="10"/>
      <c r="Y39" s="9"/>
      <c r="Z39" s="2"/>
      <c r="AA39" s="10"/>
    </row>
    <row r="40" spans="3:27" x14ac:dyDescent="0.25">
      <c r="C40" t="s">
        <v>32</v>
      </c>
      <c r="K40" s="9"/>
      <c r="L40" s="11" t="s">
        <v>42</v>
      </c>
      <c r="M40" s="10"/>
      <c r="R40" s="9"/>
      <c r="S40" s="11" t="s">
        <v>42</v>
      </c>
      <c r="T40" s="10"/>
      <c r="Y40" s="9"/>
      <c r="Z40" s="11" t="s">
        <v>42</v>
      </c>
      <c r="AA40" s="10"/>
    </row>
    <row r="41" spans="3:27" x14ac:dyDescent="0.25">
      <c r="C41" t="s">
        <v>23</v>
      </c>
      <c r="I41" t="s">
        <v>24</v>
      </c>
      <c r="K41" s="9"/>
      <c r="L41" s="2"/>
      <c r="M41" s="10"/>
      <c r="R41" s="9"/>
      <c r="S41" s="2"/>
      <c r="T41" s="10"/>
      <c r="Y41" s="9"/>
      <c r="Z41" s="2"/>
      <c r="AA41" s="10"/>
    </row>
    <row r="42" spans="3:27" x14ac:dyDescent="0.25">
      <c r="C42" s="3">
        <v>1</v>
      </c>
      <c r="D42" s="3">
        <v>1</v>
      </c>
      <c r="E42" s="3">
        <v>0</v>
      </c>
      <c r="F42" s="4">
        <v>1</v>
      </c>
      <c r="G42" s="4">
        <v>0</v>
      </c>
      <c r="I42" s="1" cm="1">
        <f t="array" ref="I42:I43">MMULT(C42:G43,I8:I12)</f>
        <v>4</v>
      </c>
      <c r="J42" t="s">
        <v>31</v>
      </c>
      <c r="K42" s="9"/>
      <c r="L42" s="17">
        <f>1/(1+IMEXP(-I42))</f>
        <v>0.98201379003790845</v>
      </c>
      <c r="M42" s="10"/>
      <c r="N42" t="s">
        <v>32</v>
      </c>
      <c r="P42" s="17" cm="1">
        <f t="array" ref="P42:P43">MMULT(C42:G43,P8:P12)</f>
        <v>3.6595299350659896</v>
      </c>
      <c r="Q42" t="s">
        <v>31</v>
      </c>
      <c r="R42" s="9"/>
      <c r="S42" s="17">
        <f>1/(1+IMEXP(-P42))</f>
        <v>0.97490153861646656</v>
      </c>
      <c r="T42" s="10"/>
      <c r="W42" s="1" cm="1">
        <f t="array" ref="W42:W43">MMULT(C42:G43,W8:W12)</f>
        <v>-0.26710790654024963</v>
      </c>
      <c r="X42" t="s">
        <v>31</v>
      </c>
      <c r="Y42" s="9"/>
      <c r="Z42" s="17">
        <f>1/(1+IMEXP(-W42))</f>
        <v>0.43361723706277416</v>
      </c>
      <c r="AA42" s="10"/>
    </row>
    <row r="43" spans="3:27" x14ac:dyDescent="0.25">
      <c r="C43" s="3">
        <v>0</v>
      </c>
      <c r="D43" s="3">
        <v>0</v>
      </c>
      <c r="E43" s="3">
        <v>-1</v>
      </c>
      <c r="F43" s="4">
        <v>-2</v>
      </c>
      <c r="G43" s="4">
        <v>-2</v>
      </c>
      <c r="I43" s="1">
        <v>-5</v>
      </c>
      <c r="K43" s="9"/>
      <c r="L43" s="17">
        <f>1/(1+IMEXP(-I43))</f>
        <v>6.6928509242848381E-3</v>
      </c>
      <c r="M43" s="10"/>
      <c r="N43" t="s">
        <v>51</v>
      </c>
      <c r="P43" s="17">
        <v>-1.3089608371803652</v>
      </c>
      <c r="R43" s="9"/>
      <c r="S43" s="17">
        <f>1/(1+IMEXP(-P43))</f>
        <v>0.21266078561794244</v>
      </c>
      <c r="T43" s="10"/>
      <c r="W43" s="1">
        <v>-4.1998143775298997</v>
      </c>
      <c r="Y43" s="9"/>
      <c r="Z43" s="17">
        <f>1/(1+IMEXP(-W43))</f>
        <v>1.47767338127082E-2</v>
      </c>
      <c r="AA43" s="10"/>
    </row>
    <row r="44" spans="3:27" x14ac:dyDescent="0.25">
      <c r="K44" s="9"/>
      <c r="L44" s="2"/>
      <c r="M44" s="10"/>
      <c r="R44" s="9"/>
      <c r="S44" s="2"/>
      <c r="T44" s="10"/>
      <c r="Y44" s="9"/>
      <c r="Z44" s="2"/>
      <c r="AA44" s="10"/>
    </row>
    <row r="45" spans="3:27" x14ac:dyDescent="0.25">
      <c r="K45" s="9"/>
      <c r="L45" s="11" t="s">
        <v>44</v>
      </c>
      <c r="M45" s="10"/>
      <c r="R45" s="9"/>
      <c r="S45" s="11" t="s">
        <v>44</v>
      </c>
      <c r="T45" s="10"/>
      <c r="Y45" s="9"/>
      <c r="Z45" s="11" t="s">
        <v>44</v>
      </c>
      <c r="AA45" s="10"/>
    </row>
    <row r="46" spans="3:27" x14ac:dyDescent="0.25">
      <c r="K46" s="9"/>
      <c r="L46" s="2"/>
      <c r="M46" s="10"/>
      <c r="R46" s="9"/>
      <c r="S46" s="2"/>
      <c r="T46" s="10"/>
      <c r="Y46" s="9"/>
      <c r="Z46" s="2"/>
      <c r="AA46" s="10"/>
    </row>
    <row r="47" spans="3:27" x14ac:dyDescent="0.25">
      <c r="C47" t="s">
        <v>56</v>
      </c>
      <c r="K47" s="9"/>
      <c r="L47" s="16">
        <f>L37*L42</f>
        <v>0.65952993506598967</v>
      </c>
      <c r="M47" s="10"/>
      <c r="R47" s="9"/>
      <c r="S47" s="16">
        <f>S37*S42</f>
        <v>0.73289209345975037</v>
      </c>
      <c r="T47" s="10"/>
      <c r="Y47" s="9"/>
      <c r="Z47" s="16">
        <f>Z37*Z42</f>
        <v>2.6975342922860676E-2</v>
      </c>
      <c r="AA47" s="10"/>
    </row>
    <row r="48" spans="3:27" x14ac:dyDescent="0.25">
      <c r="C48" t="s">
        <v>57</v>
      </c>
      <c r="K48" s="9"/>
      <c r="L48" s="16">
        <f>L38*L43</f>
        <v>-5.0495164758070669E-3</v>
      </c>
      <c r="M48" s="10"/>
      <c r="R48" s="9"/>
      <c r="S48" s="16">
        <f>S38*S43</f>
        <v>-0.1329849046948004</v>
      </c>
      <c r="T48" s="10"/>
      <c r="Y48" s="9"/>
      <c r="Z48" s="16">
        <f>Z38*Z43</f>
        <v>-3.2045634219229602E-3</v>
      </c>
      <c r="AA48" s="10"/>
    </row>
    <row r="49" spans="3:27" ht="15.75" thickBot="1" x14ac:dyDescent="0.3">
      <c r="K49" s="12"/>
      <c r="L49" s="13"/>
      <c r="M49" s="14"/>
      <c r="R49" s="12"/>
      <c r="S49" s="13"/>
      <c r="T49" s="14"/>
      <c r="Y49" s="12"/>
      <c r="Z49" s="13"/>
      <c r="AA49" s="14"/>
    </row>
    <row r="50" spans="3:27" x14ac:dyDescent="0.25">
      <c r="K50" s="2"/>
      <c r="L50" s="2"/>
      <c r="M50" s="2"/>
    </row>
    <row r="51" spans="3:27" x14ac:dyDescent="0.25">
      <c r="C51" t="s">
        <v>14</v>
      </c>
      <c r="Q51" t="s">
        <v>14</v>
      </c>
      <c r="X51" t="s">
        <v>14</v>
      </c>
    </row>
    <row r="52" spans="3:27" x14ac:dyDescent="0.25">
      <c r="C52" t="s">
        <v>16</v>
      </c>
      <c r="Q52" t="s">
        <v>67</v>
      </c>
      <c r="X52" t="s">
        <v>66</v>
      </c>
    </row>
    <row r="53" spans="3:27" x14ac:dyDescent="0.25">
      <c r="C53" t="s">
        <v>15</v>
      </c>
    </row>
    <row r="55" spans="3:27" x14ac:dyDescent="0.25">
      <c r="C55" t="s">
        <v>18</v>
      </c>
      <c r="Q55" t="s">
        <v>18</v>
      </c>
      <c r="X55" t="s">
        <v>18</v>
      </c>
    </row>
    <row r="56" spans="3:27" x14ac:dyDescent="0.25">
      <c r="C56" t="s">
        <v>19</v>
      </c>
      <c r="Q56" t="s">
        <v>61</v>
      </c>
      <c r="X56" t="s">
        <v>61</v>
      </c>
    </row>
    <row r="58" spans="3:27" x14ac:dyDescent="0.25">
      <c r="C58" t="s">
        <v>25</v>
      </c>
      <c r="Q58" t="s">
        <v>63</v>
      </c>
      <c r="X58" t="s">
        <v>63</v>
      </c>
    </row>
    <row r="59" spans="3:27" x14ac:dyDescent="0.25">
      <c r="C59" t="s">
        <v>26</v>
      </c>
      <c r="Q59" t="s">
        <v>64</v>
      </c>
      <c r="X59" t="s">
        <v>64</v>
      </c>
    </row>
    <row r="60" spans="3:27" x14ac:dyDescent="0.25">
      <c r="D60" t="s">
        <v>27</v>
      </c>
    </row>
    <row r="61" spans="3:27" x14ac:dyDescent="0.25">
      <c r="D61" t="s">
        <v>28</v>
      </c>
    </row>
    <row r="62" spans="3:27" x14ac:dyDescent="0.25">
      <c r="D62" t="s">
        <v>29</v>
      </c>
    </row>
    <row r="63" spans="3:27" x14ac:dyDescent="0.25">
      <c r="C63" t="s">
        <v>33</v>
      </c>
    </row>
    <row r="64" spans="3:27" x14ac:dyDescent="0.25">
      <c r="D64" t="s">
        <v>34</v>
      </c>
    </row>
    <row r="66" spans="3:24" x14ac:dyDescent="0.25">
      <c r="C66" t="s">
        <v>36</v>
      </c>
      <c r="Q66" t="s">
        <v>62</v>
      </c>
      <c r="X66" t="s">
        <v>62</v>
      </c>
    </row>
    <row r="67" spans="3:24" x14ac:dyDescent="0.25">
      <c r="C67" t="s">
        <v>37</v>
      </c>
      <c r="Q67" t="s">
        <v>64</v>
      </c>
      <c r="X67" t="s">
        <v>64</v>
      </c>
    </row>
    <row r="68" spans="3:24" x14ac:dyDescent="0.25">
      <c r="C68" t="s">
        <v>38</v>
      </c>
    </row>
    <row r="69" spans="3:24" x14ac:dyDescent="0.25">
      <c r="C69" t="s">
        <v>39</v>
      </c>
    </row>
    <row r="71" spans="3:24" x14ac:dyDescent="0.25">
      <c r="C71" t="s">
        <v>46</v>
      </c>
      <c r="Q71" t="s">
        <v>46</v>
      </c>
      <c r="X71" t="s">
        <v>46</v>
      </c>
    </row>
    <row r="72" spans="3:24" x14ac:dyDescent="0.25">
      <c r="C72" t="s">
        <v>47</v>
      </c>
      <c r="Q72" t="s">
        <v>64</v>
      </c>
      <c r="X72" t="s">
        <v>64</v>
      </c>
    </row>
    <row r="73" spans="3:24" x14ac:dyDescent="0.25">
      <c r="C73" t="s">
        <v>48</v>
      </c>
    </row>
    <row r="75" spans="3:24" x14ac:dyDescent="0.25">
      <c r="C75" t="s">
        <v>52</v>
      </c>
      <c r="Q75" t="s">
        <v>52</v>
      </c>
      <c r="X75" t="s">
        <v>52</v>
      </c>
    </row>
    <row r="76" spans="3:24" x14ac:dyDescent="0.25">
      <c r="C76" t="s">
        <v>53</v>
      </c>
      <c r="Q76" t="s">
        <v>65</v>
      </c>
      <c r="X76" t="s">
        <v>65</v>
      </c>
    </row>
    <row r="77" spans="3:24" x14ac:dyDescent="0.25">
      <c r="C77" t="s">
        <v>54</v>
      </c>
    </row>
    <row r="78" spans="3:24" x14ac:dyDescent="0.25">
      <c r="C78" t="s">
        <v>55</v>
      </c>
    </row>
  </sheetData>
  <pageMargins left="0.7" right="0.7" top="0.75" bottom="0.75" header="0.3" footer="0.3"/>
  <headerFooter>
    <oddFooter>&amp;C_x000D_&amp;1#&amp;"Calibri"&amp;10&amp;K000000 SLB-Private</oddFooter>
  </headerFooter>
  <drawing r:id="rId1"/>
</worksheet>
</file>

<file path=docMetadata/LabelInfo.xml><?xml version="1.0" encoding="utf-8"?>
<clbl:labelList xmlns:clbl="http://schemas.microsoft.com/office/2020/mipLabelMetadata">
  <clbl:label id="{8bb759f6-5337-4dc5-b19b-e74b6da11f8f}" enabled="1" method="Standard" siteId="{41ff26dc-250f-4b13-8981-739be8610c21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Schlumberger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Heberth Taguado</dc:creator>
  <cp:lastModifiedBy>Heberth Taguado</cp:lastModifiedBy>
  <dcterms:created xsi:type="dcterms:W3CDTF">2024-06-27T20:36:30Z</dcterms:created>
  <dcterms:modified xsi:type="dcterms:W3CDTF">2024-06-27T21:58:47Z</dcterms:modified>
</cp:coreProperties>
</file>